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c61048d8647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" sheetId="1" r:id="Rfe859d698cdb4092"/>
    <x:sheet xmlns:r="http://schemas.openxmlformats.org/officeDocument/2006/relationships" name="RegisteredPlaces" sheetId="2" r:id="R25fb8f7dc580480e"/>
    <x:sheet xmlns:r="http://schemas.openxmlformats.org/officeDocument/2006/relationships" name="BudgetSettings" sheetId="3" r:id="R640300c25192426e"/>
    <x:sheet xmlns:r="http://schemas.openxmlformats.org/officeDocument/2006/relationships" name="TripSettings" sheetId="4" r:id="R71bf64d3881343c1"/>
    <x:sheet xmlns:r="http://schemas.openxmlformats.org/officeDocument/2006/relationships" name="Dashboard" sheetId="5" r:id="R5c188f3fd7da4a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&quot;円&quot;"/>
    <x:numFmt numFmtId="202" formatCode="0.0&quot;km&quot;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991B1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2563EB"/>
      </x:patternFill>
    </x:fill>
    <x:fill>
      <x:patternFill patternType="solid">
        <x:fgColor rgb="FFF97316"/>
      </x:patternFill>
    </x:fill>
    <x:fill>
      <x:patternFill patternType="solid">
        <x:fgColor rgb="FF7C3AED"/>
      </x:patternFill>
    </x:fill>
    <x:fill>
      <x:patternFill patternType="solid">
        <x:fgColor rgb="FFDC2626"/>
      </x:patternFill>
    </x:fill>
    <x:fill>
      <x:patternFill patternType="solid">
        <x:fgColor rgb="FF991B1B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201" fontId="3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9da65a907c41df" /><Relationship Type="http://schemas.openxmlformats.org/officeDocument/2006/relationships/theme" Target="/xl/theme/theme1.xml" Id="R2c76e70fc09d4c1a" /><Relationship Type="http://schemas.microsoft.com/office/2022/11/relationships/FeaturePropertyBag" Target="/xl/featurePropertyBag/featurePropertyBag.xml" Id="Rc8118f58993a49cf" /><Relationship Type="http://schemas.openxmlformats.org/officeDocument/2006/relationships/sharedStrings" Target="/xl/sharedStrings.xml" Id="R96de93fb945646b3" /><Relationship Type="http://schemas.openxmlformats.org/officeDocument/2006/relationships/worksheet" Target="/xl/worksheets/sheet1.xml" Id="Rfe859d698cdb4092" /><Relationship Type="http://schemas.openxmlformats.org/officeDocument/2006/relationships/worksheet" Target="/xl/worksheets/sheet2.xml" Id="R25fb8f7dc580480e" /><Relationship Type="http://schemas.openxmlformats.org/officeDocument/2006/relationships/worksheet" Target="/xl/worksheets/sheet3.xml" Id="R640300c25192426e" /><Relationship Type="http://schemas.openxmlformats.org/officeDocument/2006/relationships/worksheet" Target="/xl/worksheets/sheet4.xml" Id="R71bf64d3881343c1" /><Relationship Type="http://schemas.openxmlformats.org/officeDocument/2006/relationships/worksheet" Target="/xl/worksheets/sheet5.xml" Id="R5c188f3fd7da4a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721a3f7a3c474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予算内訳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'Dashboard'!$A$3:$A$11</c:f>
              <c:strCache>
                <c:ptCount val="0"/>
              </c:strCache>
            </c:strRef>
          </c:cat>
          <c:val>
            <c:numRef>
              <c:f>'Dashboard'!$B$3:$B$11</c:f>
              <c:numCache>
                <c:formatCode>#,##0"円"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'Dashboard'!$A$3:$A$11</c:f>
              <c:strCache>
                <c:ptCount val="0"/>
              </c:strCache>
            </c:strRef>
          </c:cat>
          <c:val>
            <c:numRef>
              <c:f>'Dashboard'!$C$3:$C$11</c:f>
              <c:numCache>
                <c:formatCode>#,##0"円"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cat>
            <c:strRef>
              <c:f>'Dashboard'!$A$3:$A$11</c:f>
              <c:strCache>
                <c:ptCount val="0"/>
              </c:strCache>
            </c:strRef>
          </c:cat>
          <c:val>
            <c:numRef>
              <c:f>'Dashboard'!$D$3:$D$11</c:f>
              <c:numCache>
                <c:formatCode>#,##0"円"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721a3f7a3c474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heduleTable" displayName="ScheduleTable" ref="A1:T21" headerRowCount="1">
  <x:tableColumns count="20">
    <x:tableColumn id="1" name="UID"/>
    <x:tableColumn id="2" name="日付"/>
    <x:tableColumn id="3" name="順番"/>
    <x:tableColumn id="4" name="場所名"/>
    <x:tableColumn id="5" name="カテゴリ"/>
    <x:tableColumn id="6" name="住所"/>
    <x:tableColumn id="7" name="緯度"/>
    <x:tableColumn id="8" name="経度"/>
    <x:tableColumn id="9" name="到着"/>
    <x:tableColumn id="10" name="出発"/>
    <x:tableColumn id="11" name="滞在分"/>
    <x:tableColumn id="12" name="移動分"/>
    <x:tableColumn id="13" name="距離km"/>
    <x:tableColumn id="14" name="予算円"/>
    <x:tableColumn id="15" name="人数"/>
    <x:tableColumn id="16" name="予算区分"/>
    <x:tableColumn id="17" name="予算根拠"/>
    <x:tableColumn id="18" name="メモ"/>
    <x:tableColumn id="19" name="GoogleマップURL"/>
    <x:tableColumn id="20" name="固定予定"/>
  </x:tableColumns>
  <x:tableStyleInfo name="TableStyleMedium2" showRowStripes="1"/>
</x:table>
</file>

<file path=xl/tables/table2.xml><?xml version="1.0" encoding="utf-8"?>
<x:table xmlns:x="http://schemas.openxmlformats.org/spreadsheetml/2006/main" id="2" name="RegisteredPlacesTable" displayName="RegisteredPlacesTable" ref="A1:K19" headerRowCount="1">
  <x:tableColumns count="11">
    <x:tableColumn id="1" name="UID"/>
    <x:tableColumn id="2" name="場所名"/>
    <x:tableColumn id="3" name="カテゴリ"/>
    <x:tableColumn id="4" name="住所"/>
    <x:tableColumn id="5" name="緯度"/>
    <x:tableColumn id="6" name="経度"/>
    <x:tableColumn id="7" name="予算円"/>
    <x:tableColumn id="8" name="営業時間"/>
    <x:tableColumn id="9" name="閉店時間"/>
    <x:tableColumn id="10" name="優先度"/>
    <x:tableColumn id="11" name="Googleマップ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9eee9650a54d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e4f992a4a747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9d6581d3f8a94a9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8" hidden="0" customWidth="1"/>
    <x:col min="4" max="4" width="28" hidden="0" customWidth="1"/>
    <x:col min="5" max="5" width="16" hidden="0" customWidth="1"/>
    <x:col min="6" max="6" width="32" hidden="0" customWidth="1"/>
    <x:col min="7" max="7" width="12" hidden="0" customWidth="1"/>
    <x:col min="8" max="8" width="12" hidden="0" customWidth="1"/>
    <x:col min="9" max="9" width="9" hidden="0" customWidth="1"/>
    <x:col min="10" max="10" width="9" hidden="0" customWidth="1"/>
    <x:col min="11" max="11" width="10" hidden="0" customWidth="1"/>
    <x:col min="12" max="12" width="10" hidden="0" customWidth="1"/>
    <x:col min="13" max="13" width="11" hidden="0" customWidth="1"/>
    <x:col min="14" max="14" width="12" hidden="0" customWidth="1"/>
    <x:col min="15" max="15" width="8" hidden="0" customWidth="1"/>
    <x:col min="16" max="16" width="16" hidden="0" customWidth="1"/>
    <x:col min="17" max="17" width="36" hidden="0" customWidth="1"/>
    <x:col min="18" max="18" width="24" hidden="0" customWidth="1"/>
    <x:col min="19" max="19" width="38" hidden="0" customWidth="1"/>
    <x:col min="20" max="20" width="10" hidden="0" customWidth="1"/>
  </x:cols>
  <x:sheetData>
    <x:row r="1">
      <x:c r="A1" s="18" t="str">
        <x:v>UID</x:v>
      </x:c>
      <x:c r="B1" s="18" t="str">
        <x:v>日付</x:v>
      </x:c>
      <x:c r="C1" s="18" t="str">
        <x:v>順番</x:v>
      </x:c>
      <x:c r="D1" s="18" t="str">
        <x:v>場所名</x:v>
      </x:c>
      <x:c r="E1" s="18" t="str">
        <x:v>カテゴリ</x:v>
      </x:c>
      <x:c r="F1" s="18" t="str">
        <x:v>住所</x:v>
      </x:c>
      <x:c r="G1" s="18" t="str">
        <x:v>緯度</x:v>
      </x:c>
      <x:c r="H1" s="18" t="str">
        <x:v>経度</x:v>
      </x:c>
      <x:c r="I1" s="18" t="str">
        <x:v>到着</x:v>
      </x:c>
      <x:c r="J1" s="18" t="str">
        <x:v>出発</x:v>
      </x:c>
      <x:c r="K1" s="18" t="str">
        <x:v>滞在分</x:v>
      </x:c>
      <x:c r="L1" s="18" t="str">
        <x:v>移動分</x:v>
      </x:c>
      <x:c r="M1" s="18" t="str">
        <x:v>距離km</x:v>
      </x:c>
      <x:c r="N1" s="18" t="str">
        <x:v>予算円</x:v>
      </x:c>
      <x:c r="O1" s="18" t="str">
        <x:v>人数</x:v>
      </x:c>
      <x:c r="P1" s="18" t="str">
        <x:v>予算区分</x:v>
      </x:c>
      <x:c r="Q1" s="18" t="str">
        <x:v>予算根拠</x:v>
      </x:c>
      <x:c r="R1" s="18" t="str">
        <x:v>メモ</x:v>
      </x:c>
      <x:c r="S1" s="18" t="str">
        <x:v>GoogleマップURL</x:v>
      </x:c>
      <x:c r="T1" s="18" t="str">
        <x:v>固定予定</x:v>
      </x:c>
    </x:row>
    <x:row r="2">
      <x:c r="A2" s="19" t="str">
        <x:v>f560ea490063413883b5cea4327f43ad</x:v>
      </x:c>
      <x:c r="B2" s="20" t="n">
        <x:v>46220</x:v>
      </x:c>
      <x:c r="C2" s="19" t="n">
        <x:v>9999</x:v>
      </x:c>
      <x:c r="D2" s="19" t="str">
        <x:v>ABCレンタカー那覇空港営業所</x:v>
      </x:c>
      <x:c r="E2" s="19" t="str">
        <x:v>レンタカー</x:v>
      </x:c>
      <x:c r="F2" s="19" t="str">
        <x:v>沖縄県那覇市周辺</x:v>
      </x:c>
      <x:c r="G2" s="19" t="n">
        <x:v>26.1905</x:v>
      </x:c>
      <x:c r="H2" s="19" t="n">
        <x:v>127.6555</x:v>
      </x:c>
      <x:c r="I2" s="19" t="str">
        <x:v>13:00</x:v>
      </x:c>
      <x:c r="J2" s="19" t="str">
        <x:v>13:00</x:v>
      </x:c>
      <x:c r="K2" s="19" t="n">
        <x:v>0</x:v>
      </x:c>
      <x:c r="L2" s="19" t="n">
        <x:v>0</x:v>
      </x:c>
      <x:c r="M2" s="21" t="n">
        <x:v>0</x:v>
      </x:c>
      <x:c r="N2" s="22" t="n">
        <x:v>0</x:v>
      </x:c>
      <x:c r="O2" s="19" t="n">
        <x:v>2</x:v>
      </x:c>
      <x:c r="P2" s="19" t="str">
        <x:v>支払済み</x:v>
      </x:c>
      <x:c r="Q2" s="19" t="str">
        <x:v>レンタカー代は支払い済み</x:v>
      </x:c>
      <x:c r="R2" s="19" t="str">
        <x:v>レンタカー受取</x:v>
      </x:c>
      <x:c r="S2" s="19" t="str"/>
      <x:c r="T2" s="23" t="b">
        <x:v>1</x:v>
      </x:c>
    </x:row>
    <x:row r="3">
      <x:c r="A3" s="19" t="str">
        <x:v>9e95c0c0ef9d4cf783e18675c467dc6b</x:v>
      </x:c>
      <x:c r="B3" s="20" t="n">
        <x:v>46223</x:v>
      </x:c>
      <x:c r="C3" s="19" t="n">
        <x:v>9999</x:v>
      </x:c>
      <x:c r="D3" s="19" t="str">
        <x:v>ABCレンタカー那覇空港営業所（返却）</x:v>
      </x:c>
      <x:c r="E3" s="19" t="str">
        <x:v>レンタカー</x:v>
      </x:c>
      <x:c r="F3" s="19" t="str">
        <x:v>沖縄県那覇市周辺</x:v>
      </x:c>
      <x:c r="G3" s="19" t="n">
        <x:v>26.1905</x:v>
      </x:c>
      <x:c r="H3" s="19" t="n">
        <x:v>127.6555</x:v>
      </x:c>
      <x:c r="I3" s="19" t="str">
        <x:v>14:46</x:v>
      </x:c>
      <x:c r="J3" s="19" t="str">
        <x:v>14:46</x:v>
      </x:c>
      <x:c r="K3" s="19" t="n">
        <x:v>0</x:v>
      </x:c>
      <x:c r="L3" s="19" t="n">
        <x:v>4</x:v>
      </x:c>
      <x:c r="M3" s="21" t="n">
        <x:v>2.7</x:v>
      </x:c>
      <x:c r="N3" s="22" t="n">
        <x:v>0</x:v>
      </x:c>
      <x:c r="O3" s="19" t="n">
        <x:v>2</x:v>
      </x:c>
      <x:c r="P3" s="19" t="str">
        <x:v>支払済み</x:v>
      </x:c>
      <x:c r="Q3" s="19" t="str">
        <x:v>レンタカー代は支払い済み</x:v>
      </x:c>
      <x:c r="R3" s="19" t="str">
        <x:v>16:00までに返却</x:v>
      </x:c>
      <x:c r="S3" s="19" t="str"/>
      <x:c r="T3" s="23" t="b">
        <x:v>1</x:v>
      </x:c>
    </x:row>
    <x:row r="4">
      <x:c r="A4" s="19" t="str">
        <x:v>0e39d96e7ec141288ebfc0485f5ed667</x:v>
      </x:c>
      <x:c r="B4" s="20" t="n">
        <x:v>46220</x:v>
      </x:c>
      <x:c r="C4" s="19" t="n">
        <x:v>9999</x:v>
      </x:c>
      <x:c r="D4" s="19" t="str">
        <x:v>ザ・ブセナテラス（The Busena Terrace）</x:v>
      </x:c>
      <x:c r="E4" s="19" t="str">
        <x:v>ホテル</x:v>
      </x:c>
      <x:c r="F4" s="19" t="str"/>
      <x:c r="G4" s="19" t="n">
        <x:v>26.5404329</x:v>
      </x:c>
      <x:c r="H4" s="19" t="n">
        <x:v>127.9357986</x:v>
      </x:c>
      <x:c r="I4" s="19" t="str">
        <x:v>17:23</x:v>
      </x:c>
      <x:c r="J4" s="19" t="str">
        <x:v>17:53</x:v>
      </x:c>
      <x:c r="K4" s="19" t="n">
        <x:v>30</x:v>
      </x:c>
      <x:c r="L4" s="19" t="n">
        <x:v>42</x:v>
      </x:c>
      <x:c r="M4" s="21" t="n">
        <x:v>26.4</x:v>
      </x:c>
      <x:c r="N4" s="22" t="n">
        <x:v>0</x:v>
      </x:c>
      <x:c r="O4" s="19" t="n">
        <x:v>2</x:v>
      </x:c>
      <x:c r="P4" s="19" t="str">
        <x:v>支払済み</x:v>
      </x:c>
      <x:c r="Q4" s="19" t="str">
        <x:v>ホテル代は支払い済み</x:v>
      </x:c>
      <x:c r="R4" s="19" t="str">
        <x:v>1泊目</x:v>
      </x:c>
      <x:c r="S4" s="19" t="str">
        <x:v>https://www.google.com/maps/place/%E3%82%B6%E3%83%BB%E3%83%96%E3%82%BB%E3%83%8A%E3%83%86%E3%83%A9%E3%82%B9%EF%BC%88The+Busena+Terrace%EF%BC%89/@26.5052961,127.7055136,11z/data=!4m12!1m2!10m1!1e4!3m8!1s0x34e4ff6216878819:0x12fc82e2906b4327!5m2!4m1!1i2!8m2!3d26.5404329!4d127.9357986!16s%2Fg%2F121b763t?entry=ttu&amp;g_ep=EgoyMDI2MDYxNi4wIKXMDSoASAFQAw%3D%3D</x:v>
      </x:c>
      <x:c r="T4" s="23" t="b">
        <x:v>1</x:v>
      </x:c>
    </x:row>
    <x:row r="5">
      <x:c r="A5" s="19" t="str">
        <x:v>2888de38dbab487690807dcb4a2245b0</x:v>
      </x:c>
      <x:c r="B5" s="20" t="n">
        <x:v>46221</x:v>
      </x:c>
      <x:c r="C5" s="19" t="n">
        <x:v>9999</x:v>
      </x:c>
      <x:c r="D5" s="19" t="str">
        <x:v>ロワジールホテル 那覇</x:v>
      </x:c>
      <x:c r="E5" s="19" t="str">
        <x:v>ホテル</x:v>
      </x:c>
      <x:c r="F5" s="19" t="str"/>
      <x:c r="G5" s="19" t="n">
        <x:v>26.213692</x:v>
      </x:c>
      <x:c r="H5" s="19" t="n">
        <x:v>127.6658928</x:v>
      </x:c>
      <x:c r="I5" s="19" t="str">
        <x:v>14:10</x:v>
      </x:c>
      <x:c r="J5" s="19" t="str">
        <x:v>14:40</x:v>
      </x:c>
      <x:c r="K5" s="19" t="n">
        <x:v>30</x:v>
      </x:c>
      <x:c r="L5" s="19" t="n">
        <x:v>56</x:v>
      </x:c>
      <x:c r="M5" s="21" t="n">
        <x:v>35.2</x:v>
      </x:c>
      <x:c r="N5" s="22" t="n">
        <x:v>0</x:v>
      </x:c>
      <x:c r="O5" s="19" t="n">
        <x:v>2</x:v>
      </x:c>
      <x:c r="P5" s="19" t="str">
        <x:v>支払済み</x:v>
      </x:c>
      <x:c r="Q5" s="19" t="str">
        <x:v>ホテル代は支払い済み</x:v>
      </x:c>
      <x:c r="R5" s="19" t="str">
        <x:v>2泊目</x:v>
      </x:c>
      <x:c r="S5" s="19" t="str">
        <x:v>https://www.google.com/maps/place/%E3%83%AD%E3%83%AF%E3%82%B8%E3%83%BC%E3%83%AB%E3%83%9B%E3%83%86%E3%83%AB+%E9%82%A3%E8%A6%87/@26.2470195,127.6540829,11.21z/data=!3m1!5s0x34e569966f48c137:0x67193ecc8ba26fc6!4m12!1m2!10m1!1e4!3m8!1s0x34e5699665258f61:0x9c794af37eac9e87!5m2!4m1!1i2!8m2!3d26.213692!4d127.6658928!16s%2Fg%2F11bytn8tcg?entry=ttu&amp;g_ep=EgoyMDI2MDYxNi4wIKXMDSoASAFQAw%3D%3D</x:v>
      </x:c>
      <x:c r="T5" s="23" t="b">
        <x:v>1</x:v>
      </x:c>
    </x:row>
    <x:row r="6">
      <x:c r="A6" s="19" t="str">
        <x:v>2573cdd1afe1486d87c8626b9f77b64e</x:v>
      </x:c>
      <x:c r="B6" s="20" t="n">
        <x:v>46222</x:v>
      </x:c>
      <x:c r="C6" s="19" t="n">
        <x:v>9999</x:v>
      </x:c>
      <x:c r="D6" s="19" t="str">
        <x:v>ビーチフロントタワーミハマ</x:v>
      </x:c>
      <x:c r="E6" s="19" t="str">
        <x:v>ホテル</x:v>
      </x:c>
      <x:c r="F6" s="19" t="str"/>
      <x:c r="G6" s="19" t="n">
        <x:v>26.3083395</x:v>
      </x:c>
      <x:c r="H6" s="19" t="n">
        <x:v>127.7605839</x:v>
      </x:c>
      <x:c r="I6" s="19" t="str">
        <x:v>15:09</x:v>
      </x:c>
      <x:c r="J6" s="19" t="str">
        <x:v>15:39</x:v>
      </x:c>
      <x:c r="K6" s="19" t="n">
        <x:v>30</x:v>
      </x:c>
      <x:c r="L6" s="19" t="n">
        <x:v>2</x:v>
      </x:c>
      <x:c r="M6" s="21" t="n">
        <x:v>1.4</x:v>
      </x:c>
      <x:c r="N6" s="22" t="n">
        <x:v>0</x:v>
      </x:c>
      <x:c r="O6" s="19" t="n">
        <x:v>2</x:v>
      </x:c>
      <x:c r="P6" s="19" t="str">
        <x:v>支払済み</x:v>
      </x:c>
      <x:c r="Q6" s="19" t="str">
        <x:v>ホテル代は支払い済み</x:v>
      </x:c>
      <x:c r="R6" s="19" t="str">
        <x:v>3泊目</x:v>
      </x:c>
      <x:c r="S6" s="19" t="str">
        <x:v>https://www.google.com/maps/place/%E3%83%93%E3%83%BC%E3%83%81%E3%83%95%E3%83%AD%E3%83%B3%E3%83%88%E3%82%BF%E3%83%AF%E3%83%BC%E3%83%9F%E3%83%8F%E3%83%9E/@26.2683453,127.6614573,11.9z/data=!4m12!1m2!10m1!1e4!3m8!1s0x34e5131956ec0001:0xc419baddd4ef4b52!5m2!4m1!1i2!8m2!3d26.3083395!4d127.7605839!16s%2Fg%2F11bxb9rbks?entry=ttu&amp;g_ep=EgoyMDI2MDYxNi4wIKXMDSoASAFQAw%3D%3D</x:v>
      </x:c>
      <x:c r="T6" s="23" t="b">
        <x:v>1</x:v>
      </x:c>
    </x:row>
    <x:row r="7">
      <x:c r="A7" s="19" t="str">
        <x:v>5bbd9ef312824b4798b9a2cd7aad0cd1</x:v>
      </x:c>
      <x:c r="B7" s="20" t="n">
        <x:v>46223</x:v>
      </x:c>
      <x:c r="C7" s="19" t="n">
        <x:v>2</x:v>
      </x:c>
      <x:c r="D7" s="19" t="str">
        <x:v>首里金城町石畳道</x:v>
      </x:c>
      <x:c r="E7" s="19" t="str">
        <x:v>観光スポット</x:v>
      </x:c>
      <x:c r="F7" s="19" t="str"/>
      <x:c r="G7" s="19" t="n">
        <x:v>26.2146855</x:v>
      </x:c>
      <x:c r="H7" s="19" t="n">
        <x:v>127.7145443</x:v>
      </x:c>
      <x:c r="I7" s="19" t="str">
        <x:v>10:55</x:v>
      </x:c>
      <x:c r="J7" s="19" t="str">
        <x:v>11:25</x:v>
      </x:c>
      <x:c r="K7" s="19" t="n">
        <x:v>30</x:v>
      </x:c>
      <x:c r="L7" s="19" t="n">
        <x:v>12</x:v>
      </x:c>
      <x:c r="M7" s="21" t="n">
        <x:v>7.7</x:v>
      </x:c>
      <x:c r="N7" s="22" t="n">
        <x:v>0</x:v>
      </x:c>
      <x:c r="O7" s="19" t="n">
        <x:v>2</x:v>
      </x:c>
      <x:c r="P7" s="19" t="str">
        <x:v>無料・未計上</x:v>
      </x:c>
      <x:c r="Q7" s="19" t="str">
        <x:v>入場料なし</x:v>
      </x:c>
      <x:c r="R7" s="19" t="str"/>
      <x:c r="S7" s="19" t="str">
        <x:v>https://www.google.com/maps/place/%E9%A6%96%E9%87%8C%E9%87%91%E5%9F%8E%E7%94%BA%E7%9F%B3%E7%95%B3%E9%81%93/@26.2470195,127.6540829,11.21z/data=!4m9!1m2!10m1!1e4!3m5!1s0x34e5695771438eb3:0x5e8617c69ab546ef!8m2!3d26.2146855!4d127.7145443!16s%2Fg%2F122gqtxr?entry=ttu&amp;g_ep=EgoyMDI2MDYxNi4wIKXMDSoASAFQAw%3D%3D</x:v>
      </x:c>
      <x:c r="T7" s="23" t="b">
        <x:v>0</x:v>
      </x:c>
    </x:row>
    <x:row r="8">
      <x:c r="A8" s="19" t="str">
        <x:v>024ca340e92b4efaba5db0e394a3c788</x:v>
      </x:c>
      <x:c r="B8" s="20" t="n">
        <x:v>46223</x:v>
      </x:c>
      <x:c r="C8" s="19" t="n">
        <x:v>0</x:v>
      </x:c>
      <x:c r="D8" s="19" t="str">
        <x:v>A&amp;W 牧港店</x:v>
      </x:c>
      <x:c r="E8" s="19" t="str">
        <x:v>観光スポット</x:v>
      </x:c>
      <x:c r="F8" s="19" t="str"/>
      <x:c r="G8" s="19" t="n">
        <x:v>26.2666387</x:v>
      </x:c>
      <x:c r="H8" s="19" t="n">
        <x:v>127.7284454</x:v>
      </x:c>
      <x:c r="I8" s="19" t="str">
        <x:v>09:12</x:v>
      </x:c>
      <x:c r="J8" s="19" t="str">
        <x:v>10:12</x:v>
      </x:c>
      <x:c r="K8" s="19" t="n">
        <x:v>60</x:v>
      </x:c>
      <x:c r="L8" s="19" t="n">
        <x:v>12</x:v>
      </x:c>
      <x:c r="M8" s="21" t="n">
        <x:v>7.3</x:v>
      </x:c>
      <x:c r="N8" s="22" t="n">
        <x:v>3000</x:v>
      </x:c>
      <x:c r="O8" s="19" t="n">
        <x:v>2</x:v>
      </x:c>
      <x:c r="P8" s="19" t="str">
        <x:v>飲食</x:v>
      </x:c>
      <x:c r="Q8" s="19" t="str">
        <x:v>2人分のバーガー・サイド・飲物</x:v>
      </x:c>
      <x:c r="R8" s="19" t="str"/>
      <x:c r="S8" s="19" t="str">
        <x:v>https://www.google.com/maps/place/A%26W+%E7%89%A7%E6%B8%AF%E5%BA%97/@26.2470195,127.6540829,11.21z/data=!4m9!1m2!10m1!1e4!3m5!1s0x34e56c9c6de49893:0x7c59da9d71a386f5!8m2!3d26.2666387!4d127.7284454!16s%2Fg%2F1td3p766?entry=ttu&amp;g_ep=EgoyMDI2MDYxNi4wIKXMDSoASAFQAw%3D%3D</x:v>
      </x:c>
      <x:c r="T8" s="23" t="b">
        <x:v>0</x:v>
      </x:c>
    </x:row>
    <x:row r="9">
      <x:c r="A9" s="19" t="str">
        <x:v>c573a6f8f51945a18f746d2873fd88b8</x:v>
      </x:c>
      <x:c r="B9" s="20" t="n">
        <x:v>46223</x:v>
      </x:c>
      <x:c r="C9" s="19" t="n">
        <x:v>1</x:v>
      </x:c>
      <x:c r="D9" s="19" t="str">
        <x:v>ブルーシール 牧港本店</x:v>
      </x:c>
      <x:c r="E9" s="19" t="str">
        <x:v>観光スポット</x:v>
      </x:c>
      <x:c r="F9" s="19" t="str"/>
      <x:c r="G9" s="19" t="n">
        <x:v>26.2673347</x:v>
      </x:c>
      <x:c r="H9" s="19" t="n">
        <x:v>127.7214297</x:v>
      </x:c>
      <x:c r="I9" s="19" t="str">
        <x:v>10:13</x:v>
      </x:c>
      <x:c r="J9" s="19" t="str">
        <x:v>10:43</x:v>
      </x:c>
      <x:c r="K9" s="19" t="n">
        <x:v>30</x:v>
      </x:c>
      <x:c r="L9" s="19" t="n">
        <x:v>1</x:v>
      </x:c>
      <x:c r="M9" s="21" t="n">
        <x:v>0.9</x:v>
      </x:c>
      <x:c r="N9" s="22" t="n">
        <x:v>1200</x:v>
      </x:c>
      <x:c r="O9" s="19" t="n">
        <x:v>2</x:v>
      </x:c>
      <x:c r="P9" s="19" t="str">
        <x:v>飲食</x:v>
      </x:c>
      <x:c r="Q9" s="19" t="str">
        <x:v>600円前後×2人</x:v>
      </x:c>
      <x:c r="R9" s="19" t="str"/>
      <x:c r="S9" s="19" t="str">
        <x:v>https://www.google.com/maps/place/%E3%83%96%E3%83%AB%E3%83%BC%E3%82%B7%E3%83%BC%E3%83%AB+%E7%89%A7%E6%B8%AF%E6%9C%AC%E5%BA%97/@26.2683453,127.6614573,11.9z/data=!4m9!1m2!10m1!1e4!3m5!1s0x34e56b62fa9a7867:0xf056f74e99e16b7c!8m2!3d26.2673347!4d127.7214297!16s%2Fg%2F1tql2jnb?entry=ttu&amp;g_ep=EgoyMDI2MDYxNi4wIKXMDSoASAFQAw%3D%3D</x:v>
      </x:c>
      <x:c r="T9" s="23" t="b">
        <x:v>0</x:v>
      </x:c>
    </x:row>
    <x:row r="10">
      <x:c r="A10" s="19" t="str">
        <x:v>a7f42aec0db74771b83ac59f4879c472</x:v>
      </x:c>
      <x:c r="B10" s="20" t="n">
        <x:v>46222</x:v>
      </x:c>
      <x:c r="C10" s="19" t="n">
        <x:v>3</x:v>
      </x:c>
      <x:c r="D10" s="19" t="str">
        <x:v>美浜タウンリゾート・アメリカンビレッジ</x:v>
      </x:c>
      <x:c r="E10" s="19" t="str">
        <x:v>観光スポット</x:v>
      </x:c>
      <x:c r="F10" s="19" t="str"/>
      <x:c r="G10" s="19" t="n">
        <x:v>26.3158799</x:v>
      </x:c>
      <x:c r="H10" s="19" t="n">
        <x:v>127.7540077</x:v>
      </x:c>
      <x:c r="I10" s="19" t="str">
        <x:v>14:07</x:v>
      </x:c>
      <x:c r="J10" s="19" t="str">
        <x:v>15:07</x:v>
      </x:c>
      <x:c r="K10" s="19" t="n">
        <x:v>60</x:v>
      </x:c>
      <x:c r="L10" s="19" t="n">
        <x:v>25</x:v>
      </x:c>
      <x:c r="M10" s="21" t="n">
        <x:v>15.6</x:v>
      </x:c>
      <x:c r="N10" s="22" t="n">
        <x:v>0</x:v>
      </x:c>
      <x:c r="O10" s="19" t="n">
        <x:v>2</x:v>
      </x:c>
      <x:c r="P10" s="19" t="str">
        <x:v>無料・未計上</x:v>
      </x:c>
      <x:c r="Q10" s="19" t="str">
        <x:v>入場料なし</x:v>
      </x:c>
      <x:c r="R10" s="19" t="str"/>
      <x:c r="S10" s="19" t="str">
        <x:v>https://www.google.com/maps/place/%E7%BE%8E%E6%B5%9C%E3%82%BF%E3%82%A6%E3%83%B3%E3%83%AA%E3%82%BE%E3%83%BC%E3%83%88%E3%83%BB%E3%82%A2%E3%83%A1%E3%83%AA%E3%82%AB%E3%83%B3%E3%83%93%E3%83%AC%E3%83%83%E3%82%B8/@26.2683453,127.6614573,11.9z/data=!4m9!1m2!10m1!1e4!3m5!1s0x34e5130508159acd:0x1bde7c8b1d9e8bcc!8m2!3d26.3158799!4d127.7540077!16s%2Fg%2F122qywtm?entry=ttu&amp;g_ep=EgoyMDI2MDYxNi4wIKXMDSoASAFQAw%3D%3D</x:v>
      </x:c>
      <x:c r="T10" s="23" t="b">
        <x:v>0</x:v>
      </x:c>
    </x:row>
    <x:row r="11">
      <x:c r="A11" s="19" t="str">
        <x:v>4e4506c1de454b65b035722e4b90d449</x:v>
      </x:c>
      <x:c r="B11" s="20" t="n">
        <x:v>46222</x:v>
      </x:c>
      <x:c r="C11" s="19" t="n">
        <x:v>2</x:v>
      </x:c>
      <x:c r="D11" s="19" t="str">
        <x:v>バンタカフェ by 星野リゾート</x:v>
      </x:c>
      <x:c r="E11" s="19" t="str">
        <x:v>観光スポット</x:v>
      </x:c>
      <x:c r="F11" s="19" t="str"/>
      <x:c r="G11" s="19" t="n">
        <x:v>26.4177102</x:v>
      </x:c>
      <x:c r="H11" s="19" t="n">
        <x:v>127.7140044</x:v>
      </x:c>
      <x:c r="I11" s="19" t="str">
        <x:v>12:12</x:v>
      </x:c>
      <x:c r="J11" s="19" t="str">
        <x:v>13:42</x:v>
      </x:c>
      <x:c r="K11" s="19" t="n">
        <x:v>90</x:v>
      </x:c>
      <x:c r="L11" s="19" t="n">
        <x:v>8</x:v>
      </x:c>
      <x:c r="M11" s="21" t="n">
        <x:v>5.4</x:v>
      </x:c>
      <x:c r="N11" s="22" t="n">
        <x:v>3000</x:v>
      </x:c>
      <x:c r="O11" s="19" t="n">
        <x:v>2</x:v>
      </x:c>
      <x:c r="P11" s="19" t="str">
        <x:v>飲食</x:v>
      </x:c>
      <x:c r="Q11" s="19" t="str">
        <x:v>1人1,000～1,999円の中間程度×2人</x:v>
      </x:c>
      <x:c r="R11" s="19" t="str"/>
      <x:c r="S11" s="19" t="str">
        <x:v>https://www.google.com/maps/place/%E3%83%90%E3%83%B3%E3%82%BF%E3%82%AB%E3%83%95%E3%82%A7+by+%E6%98%9F%E9%87%8E%E3%83%AA%E3%82%BE%E3%83%BC%E3%83%88/@26.2598903,127.5952914,11.18z/data=!3m1!5s0x34e516d7e05c9717:0x6b5c1ddcfbe86e2d!4m9!1m2!10m1!1e4!3m5!1s0x34e5179945710b5b:0x14dc6ce7bed9f877!8m2!3d26.4177102!4d127.7140044!16s%2Fg%2F11h_vydzfd?entry=ttu&amp;g_ep=EgoyMDI2MDYxNi4wIKXMDSoASAFQAw%3D%3D</x:v>
      </x:c>
      <x:c r="T11" s="23" t="b">
        <x:v>0</x:v>
      </x:c>
    </x:row>
    <x:row r="12">
      <x:c r="A12" s="19" t="str">
        <x:v>e962c5129d114409b11da99e98f187c9</x:v>
      </x:c>
      <x:c r="B12" s="20" t="n">
        <x:v>46222</x:v>
      </x:c>
      <x:c r="C12" s="19" t="n">
        <x:v>1</x:v>
      </x:c>
      <x:c r="D12" s="19" t="str">
        <x:v>やちむんの里</x:v>
      </x:c>
      <x:c r="E12" s="19" t="str">
        <x:v>観光スポット</x:v>
      </x:c>
      <x:c r="F12" s="19" t="str"/>
      <x:c r="G12" s="19" t="n">
        <x:v>26.4076824</x:v>
      </x:c>
      <x:c r="H12" s="19" t="n">
        <x:v>127.7540485</x:v>
      </x:c>
      <x:c r="I12" s="19" t="str">
        <x:v>11:04</x:v>
      </x:c>
      <x:c r="J12" s="19" t="str">
        <x:v>12:04</x:v>
      </x:c>
      <x:c r="K12" s="19" t="n">
        <x:v>60</x:v>
      </x:c>
      <x:c r="L12" s="19" t="n">
        <x:v>8</x:v>
      </x:c>
      <x:c r="M12" s="21" t="n">
        <x:v>5.4</x:v>
      </x:c>
      <x:c r="N12" s="22" t="n">
        <x:v>0</x:v>
      </x:c>
      <x:c r="O12" s="19" t="n">
        <x:v>2</x:v>
      </x:c>
      <x:c r="P12" s="19" t="str">
        <x:v>無料・未計上</x:v>
      </x:c>
      <x:c r="Q12" s="19" t="str">
        <x:v>散策無料。購入・体験は別</x:v>
      </x:c>
      <x:c r="R12" s="19" t="str"/>
      <x:c r="S12" s="19" t="str">
        <x:v>https://www.google.com/maps/place/%E3%82%84%E3%81%A1%E3%82%80%E3%82%93%E3%81%AE%E9%87%8C/@26.2598903,127.5952914,11.18z/data=!4m9!1m2!10m1!1e4!3m5!1s0x34e5113d9c9fee93:0x75a11f61f4cb1ea!8m2!3d26.4076824!4d127.7540485!16s%2Fg%2F1tg_jd02?entry=ttu&amp;g_ep=EgoyMDI2MDYxNi4wIKXMDSoASAFQAw%3D%3D</x:v>
      </x:c>
      <x:c r="T12" s="23" t="b">
        <x:v>0</x:v>
      </x:c>
    </x:row>
    <x:row r="13">
      <x:c r="A13" s="19" t="str">
        <x:v>62c9c686676c415d92b30e0ccb4e52b7</x:v>
      </x:c>
      <x:c r="B13" s="20" t="n">
        <x:v>46222</x:v>
      </x:c>
      <x:c r="C13" s="19" t="n">
        <x:v>0</x:v>
      </x:c>
      <x:c r="D13" s="19" t="str">
        <x:v>株式会社 琉球ガラス煌工房</x:v>
      </x:c>
      <x:c r="E13" s="19" t="str">
        <x:v>観光スポット</x:v>
      </x:c>
      <x:c r="F13" s="19" t="str"/>
      <x:c r="G13" s="19" t="n">
        <x:v>26.4348972</x:v>
      </x:c>
      <x:c r="H13" s="19" t="n">
        <x:v>127.7822327</x:v>
      </x:c>
      <x:c r="I13" s="19" t="str">
        <x:v>09:56</x:v>
      </x:c>
      <x:c r="J13" s="19" t="str">
        <x:v>10:56</x:v>
      </x:c>
      <x:c r="K13" s="19" t="n">
        <x:v>60</x:v>
      </x:c>
      <x:c r="L13" s="19" t="n">
        <x:v>56</x:v>
      </x:c>
      <x:c r="M13" s="21" t="n">
        <x:v>35.4</x:v>
      </x:c>
      <x:c r="N13" s="22" t="n">
        <x:v>7400</x:v>
      </x:c>
      <x:c r="O13" s="19" t="n">
        <x:v>2</x:v>
      </x:c>
      <x:c r="P13" s="19" t="str">
        <x:v>観光・体験</x:v>
      </x:c>
      <x:c r="Q13" s="19" t="str">
        <x:v>基本3,700円×2人。オプション別</x:v>
      </x:c>
      <x:c r="R13" s="19" t="str"/>
      <x:c r="S13" s="19" t="str">
        <x:v>https://www.google.com/maps/place/%E6%A0%AA%E5%BC%8F%E4%BC%9A%E7%A4%BE+%E7%90%89%E7%90%83%E3%82%AC%E3%83%A9%E3%82%B9%E7%85%8C%E5%B7%A5%E6%88%BF/@26.2598903,127.5952914,11.18z/data=!4m9!1m2!10m1!1e4!3m5!1s0x34e510742cd11a87:0xa457575dd684553a!8m2!3d26.4348972!4d127.7822327!16s%2Fg%2F11xfpqmx7?entry=ttu&amp;g_ep=EgoyMDI2MDYxNi4wIKXMDSoASAFQAw%3D%3D</x:v>
      </x:c>
      <x:c r="T13" s="23" t="b">
        <x:v>0</x:v>
      </x:c>
    </x:row>
    <x:row r="14">
      <x:c r="A14" s="19" t="str">
        <x:v>5d376967e25c4c7694a19a8819f8aa30</x:v>
      </x:c>
      <x:c r="B14" s="20" t="n">
        <x:v>46220</x:v>
      </x:c>
      <x:c r="C14" s="19" t="n">
        <x:v>1</x:v>
      </x:c>
      <x:c r="D14" s="19" t="str">
        <x:v>The Sinmay</x:v>
      </x:c>
      <x:c r="E14" s="19" t="str">
        <x:v>観光スポット</x:v>
      </x:c>
      <x:c r="F14" s="19" t="str"/>
      <x:c r="G14" s="19" t="n">
        <x:v>26.6779268</x:v>
      </x:c>
      <x:c r="H14" s="19" t="n">
        <x:v>127.9714803</x:v>
      </x:c>
      <x:c r="I14" s="19" t="str">
        <x:v>15:19</x:v>
      </x:c>
      <x:c r="J14" s="19" t="str">
        <x:v>15:29</x:v>
      </x:c>
      <x:c r="K14" s="19" t="n">
        <x:v>10</x:v>
      </x:c>
      <x:c r="L14" s="19" t="n">
        <x:v>126</x:v>
      </x:c>
      <x:c r="M14" s="21" t="n">
        <x:v>79.5</x:v>
      </x:c>
      <x:c r="N14" s="22" t="n">
        <x:v>0</x:v>
      </x:c>
      <x:c r="O14" s="19" t="n">
        <x:v>2</x:v>
      </x:c>
      <x:c r="P14" s="19" t="str">
        <x:v>無料・未計上</x:v>
      </x:c>
      <x:c r="Q14" s="19" t="str">
        <x:v>立寄り扱いで0円。買物・飲食は別</x:v>
      </x:c>
      <x:c r="R14" s="19" t="str"/>
      <x:c r="S14" s="19" t="str">
        <x:v>https://www.google.com/maps/place/The+Sinmay/@26.5052961,127.7055136,11z/data=!4m9!1m2!10m1!1e4!3m5!1s0x34e4f93f21d32467:0x2ec7ebee84f500a1!8m2!3d26.6779268!4d127.9714803!16s%2Fg%2F11sn837w8m?entry=ttu&amp;g_ep=EgoyMDI2MDYxNi4wIKXMDSoASAFQAw%3D%3D</x:v>
      </x:c>
      <x:c r="T14" s="23" t="b">
        <x:v>0</x:v>
      </x:c>
    </x:row>
    <x:row r="15">
      <x:c r="A15" s="19" t="str">
        <x:v>f9128b3267ef4872b76ddd4ce8b1c09b</x:v>
      </x:c>
      <x:c r="B15" s="20" t="n">
        <x:v>46220</x:v>
      </x:c>
      <x:c r="C15" s="19" t="n">
        <x:v>2</x:v>
      </x:c>
      <x:c r="D15" s="19" t="str">
        <x:v>古宇利島</x:v>
      </x:c>
      <x:c r="E15" s="19" t="str">
        <x:v>観光スポット</x:v>
      </x:c>
      <x:c r="F15" s="19" t="str"/>
      <x:c r="G15" s="19" t="n">
        <x:v>26.7072982</x:v>
      </x:c>
      <x:c r="H15" s="19" t="n">
        <x:v>128.0181686</x:v>
      </x:c>
      <x:c r="I15" s="19" t="str">
        <x:v>15:41</x:v>
      </x:c>
      <x:c r="J15" s="19" t="str">
        <x:v>16:41</x:v>
      </x:c>
      <x:c r="K15" s="19" t="n">
        <x:v>60</x:v>
      </x:c>
      <x:c r="L15" s="19" t="n">
        <x:v>12</x:v>
      </x:c>
      <x:c r="M15" s="21" t="n">
        <x:v>7.4</x:v>
      </x:c>
      <x:c r="N15" s="22" t="n">
        <x:v>0</x:v>
      </x:c>
      <x:c r="O15" s="19" t="n">
        <x:v>2</x:v>
      </x:c>
      <x:c r="P15" s="19" t="str">
        <x:v>無料・未計上</x:v>
      </x:c>
      <x:c r="Q15" s="19" t="str">
        <x:v>島への入場料なし</x:v>
      </x:c>
      <x:c r="R15" s="19" t="str"/>
      <x:c r="S15" s="19" t="str">
        <x:v>https://www.google.com/maps/place/%E5%8F%A4%E5%AE%87%E5%88%A9%E5%B3%B6/@26.6046612,127.7665632,11.3z/data=!4m6!3m5!1s0x34e45834628fc6c1:0xfe464c1009cf4372!8m2!3d26.7072982!4d128.0181686!16s%2Fg%2F1237_v5z!5m1!1e1?entry=ttu&amp;g_ep=EgoyMDI2MDYxNi4wIKXMDSoASAFQAw%3D%3D</x:v>
      </x:c>
      <x:c r="T15" s="23" t="b">
        <x:v>0</x:v>
      </x:c>
    </x:row>
    <x:row r="16">
      <x:c r="A16" s="19" t="str">
        <x:v>f89ff1065f39435fa4dcf13a4354ddb2</x:v>
      </x:c>
      <x:c r="B16" s="20" t="n">
        <x:v>46221</x:v>
      </x:c>
      <x:c r="C16" s="19" t="n">
        <x:v>1</x:v>
      </x:c>
      <x:c r="D16" s="19" t="str">
        <x:v>PANZA沖縄</x:v>
      </x:c>
      <x:c r="E16" s="19" t="str">
        <x:v>観光スポット</x:v>
      </x:c>
      <x:c r="F16" s="19" t="str"/>
      <x:c r="G16" s="19" t="n">
        <x:v>26.4623155</x:v>
      </x:c>
      <x:c r="H16" s="19" t="n">
        <x:v>127.8127501</x:v>
      </x:c>
      <x:c r="I16" s="19" t="str">
        <x:v>10:01</x:v>
      </x:c>
      <x:c r="J16" s="19" t="str">
        <x:v>11:01</x:v>
      </x:c>
      <x:c r="K16" s="19" t="n">
        <x:v>60</x:v>
      </x:c>
      <x:c r="L16" s="19" t="n">
        <x:v>12</x:v>
      </x:c>
      <x:c r="M16" s="21" t="n">
        <x:v>7.9</x:v>
      </x:c>
      <x:c r="N16" s="22" t="n">
        <x:v>5500</x:v>
      </x:c>
      <x:c r="O16" s="19" t="n">
        <x:v>2</x:v>
      </x:c>
      <x:c r="P16" s="19" t="str">
        <x:v>観光・体験</x:v>
      </x:c>
      <x:c r="Q16" s="19" t="str">
        <x:v>通常期2,750円×2人。駐車場別</x:v>
      </x:c>
      <x:c r="R16" s="19" t="str"/>
      <x:c r="S16" s="19" t="str">
        <x:v>https://www.google.com/maps/place/PANZA%E6%B2%96%E7%B8%84/@26.4664293,127.8032498,10.91z/data=!4m6!3m5!1s0x34e505417cfeee85:0xe8fc20a98b8f0e02!8m2!3d26.4623155!4d127.8127501!16s%2Fg%2F11hyg5gqqm!5m1!1e1?entry=ttu&amp;g_ep=EgoyMDI2MDYxNi4wIKXMDSoASAFQAw%3D%3D</x:v>
      </x:c>
      <x:c r="T16" s="23" t="b">
        <x:v>0</x:v>
      </x:c>
    </x:row>
    <x:row r="17">
      <x:c r="A17" s="19" t="str">
        <x:v>4e30a9957a204b85a4d80b27ee741a15</x:v>
      </x:c>
      <x:c r="B17" s="20" t="n">
        <x:v>46221</x:v>
      </x:c>
      <x:c r="C17" s="19" t="n">
        <x:v>2</x:v>
      </x:c>
      <x:c r="D17" s="19" t="str">
        <x:v>ビオスの丘</x:v>
      </x:c>
      <x:c r="E17" s="19" t="str">
        <x:v>観光スポット</x:v>
      </x:c>
      <x:c r="F17" s="19" t="str"/>
      <x:c r="G17" s="19" t="n">
        <x:v>26.4217756</x:v>
      </x:c>
      <x:c r="H17" s="19" t="n">
        <x:v>127.796585</x:v>
      </x:c>
      <x:c r="I17" s="19" t="str">
        <x:v>11:11</x:v>
      </x:c>
      <x:c r="J17" s="19" t="str">
        <x:v>12:11</x:v>
      </x:c>
      <x:c r="K17" s="19" t="n">
        <x:v>60</x:v>
      </x:c>
      <x:c r="L17" s="19" t="n">
        <x:v>10</x:v>
      </x:c>
      <x:c r="M17" s="21" t="n">
        <x:v>6.2</x:v>
      </x:c>
      <x:c r="N17" s="22" t="n">
        <x:v>4400</x:v>
      </x:c>
      <x:c r="O17" s="19" t="n">
        <x:v>2</x:v>
      </x:c>
      <x:c r="P17" s="19" t="str">
        <x:v>観光・体験</x:v>
      </x:c>
      <x:c r="Q17" s="19" t="str">
        <x:v>大人2,200円×2人</x:v>
      </x:c>
      <x:c r="R17" s="19" t="str"/>
      <x:c r="S17" s="19" t="str">
        <x:v>https://www.google.com/maps/place/%E3%83%93%E3%82%AA%E3%82%B9%E3%81%AE%E4%B8%98/@26.4345941,127.8032767,10.61z/data=!4m6!3m5!1s0x34e510106aad01e9:0xfff45f22399b3537!8m2!3d26.4217756!4d127.796585!16s%2Fg%2F1tf6dcxx?entry=ttu&amp;g_ep=EgoyMDI2MDYxNi4wIKXMDSoASAFQAw%3D%3D</x:v>
      </x:c>
      <x:c r="T17" s="23" t="b">
        <x:v>0</x:v>
      </x:c>
    </x:row>
    <x:row r="18">
      <x:c r="A18" s="19" t="str">
        <x:v>19686004b0824e7db190c350c5fe9196</x:v>
      </x:c>
      <x:c r="B18" s="20" t="n">
        <x:v>46221</x:v>
      </x:c>
      <x:c r="C18" s="19" t="n">
        <x:v>3</x:v>
      </x:c>
      <x:c r="D18" s="19" t="str">
        <x:v>CAVE OKINAWA神秘の鍾乳洞</x:v>
      </x:c>
      <x:c r="E18" s="19" t="str">
        <x:v>観光スポット</x:v>
      </x:c>
      <x:c r="F18" s="19" t="str"/>
      <x:c r="G18" s="19" t="n">
        <x:v>26.4204123</x:v>
      </x:c>
      <x:c r="H18" s="19" t="n">
        <x:v>127.8093378</x:v>
      </x:c>
      <x:c r="I18" s="19" t="str">
        <x:v>12:14</x:v>
      </x:c>
      <x:c r="J18" s="19" t="str">
        <x:v>13:14</x:v>
      </x:c>
      <x:c r="K18" s="19" t="n">
        <x:v>60</x:v>
      </x:c>
      <x:c r="L18" s="19" t="n">
        <x:v>3</x:v>
      </x:c>
      <x:c r="M18" s="21" t="n">
        <x:v>1.7</x:v>
      </x:c>
      <x:c r="N18" s="22" t="n">
        <x:v>2400</x:v>
      </x:c>
      <x:c r="O18" s="19" t="n">
        <x:v>2</x:v>
      </x:c>
      <x:c r="P18" s="19" t="str">
        <x:v>観光・体験</x:v>
      </x:c>
      <x:c r="Q18" s="19" t="str">
        <x:v>大人1,200円×2人</x:v>
      </x:c>
      <x:c r="R18" s="19" t="str"/>
      <x:c r="S18" s="19" t="str">
        <x:v>https://www.google.com/maps/place/CAVE+OKINAWA%E7%A5%9E%E7%A7%98%E3%81%AE%E9%8D%BE%E4%B9%B3%E6%B4%9E/@26.4232943,127.7846776,15.08z/data=!4m6!3m5!1s0x34e510026801563b:0x863c44f936a877c9!8m2!3d26.4204123!4d127.8093378!16s%2Fg%2F119wqmr7c?entry=ttu&amp;g_ep=EgoyMDI2MDYxNi4wIKXMDSoASAFQAw%3D%3D</x:v>
      </x:c>
      <x:c r="T18" s="23" t="b">
        <x:v>0</x:v>
      </x:c>
    </x:row>
    <x:row r="19">
      <x:c r="A19" s="19" t="str">
        <x:v>425c72dd0235493d8bf4b2d4ea55b0bc</x:v>
      </x:c>
      <x:c r="B19" s="20" t="n">
        <x:v>46223</x:v>
      </x:c>
      <x:c r="C19" s="19" t="n">
        <x:v>3</x:v>
      </x:c>
      <x:c r="D19" s="19" t="str">
        <x:v>ウミカジテラス</x:v>
      </x:c>
      <x:c r="E19" s="19" t="str">
        <x:v>観光スポット</x:v>
      </x:c>
      <x:c r="F19" s="19" t="str">
        <x:v>ウミカジテラス, 瀬長島海中道路, 瀬長, 豊見城市, 沖縄県, 901-0292, 日本</x:v>
      </x:c>
      <x:c r="G19" s="19" t="n">
        <x:v>26.1769645</x:v>
      </x:c>
      <x:c r="H19" s="19" t="n">
        <x:v>127.6412866</x:v>
      </x:c>
      <x:c r="I19" s="19" t="str">
        <x:v>11:42</x:v>
      </x:c>
      <x:c r="J19" s="19" t="str">
        <x:v>14:42</x:v>
      </x:c>
      <x:c r="K19" s="19" t="n">
        <x:v>180</x:v>
      </x:c>
      <x:c r="L19" s="19" t="n">
        <x:v>17</x:v>
      </x:c>
      <x:c r="M19" s="21" t="n">
        <x:v>11</x:v>
      </x:c>
      <x:c r="N19" s="22" t="n">
        <x:v>0</x:v>
      </x:c>
      <x:c r="O19" s="19" t="n">
        <x:v>2</x:v>
      </x:c>
      <x:c r="P19" s="19" t="str">
        <x:v>無料・未計上</x:v>
      </x:c>
      <x:c r="Q19" s="19" t="str">
        <x:v>入場料なし</x:v>
      </x:c>
      <x:c r="R19" s="19" t="str"/>
      <x:c r="S19" s="19" t="str"/>
      <x:c r="T19" s="23" t="b">
        <x:v>0</x:v>
      </x:c>
    </x:row>
    <x:row r="20">
      <x:c r="A20" s="19" t="str">
        <x:v>bb9256d9364d43fdad285d59c7339e76</x:v>
      </x:c>
      <x:c r="B20" s="20" t="n">
        <x:v>46221</x:v>
      </x:c>
      <x:c r="C20" s="19" t="n">
        <x:v>0</x:v>
      </x:c>
      <x:c r="D20" s="19" t="str">
        <x:v>万座毛</x:v>
      </x:c>
      <x:c r="E20" s="19" t="str">
        <x:v>観光スポット</x:v>
      </x:c>
      <x:c r="F20" s="19" t="str">
        <x:v>万座毛, 恩納村, 国頭郡, 沖縄県, 904-0411, 日本</x:v>
      </x:c>
      <x:c r="G20" s="19" t="n">
        <x:v>26.5050087</x:v>
      </x:c>
      <x:c r="H20" s="19" t="n">
        <x:v>127.8502564</x:v>
      </x:c>
      <x:c r="I20" s="19" t="str">
        <x:v>09:19</x:v>
      </x:c>
      <x:c r="J20" s="19" t="str">
        <x:v>09:49</x:v>
      </x:c>
      <x:c r="K20" s="19" t="n">
        <x:v>30</x:v>
      </x:c>
      <x:c r="L20" s="19" t="n">
        <x:v>19</x:v>
      </x:c>
      <x:c r="M20" s="21" t="n">
        <x:v>12.2</x:v>
      </x:c>
      <x:c r="N20" s="22" t="n">
        <x:v>200</x:v>
      </x:c>
      <x:c r="O20" s="19" t="n">
        <x:v>2</x:v>
      </x:c>
      <x:c r="P20" s="19" t="str">
        <x:v>観光・体験</x:v>
      </x:c>
      <x:c r="Q20" s="19" t="str">
        <x:v>大人100円×2人</x:v>
      </x:c>
      <x:c r="R20" s="19" t="str"/>
      <x:c r="S20" s="19" t="str"/>
      <x:c r="T20" s="23" t="b">
        <x:v>0</x:v>
      </x:c>
    </x:row>
    <x:row r="21">
      <x:c r="A21" s="19" t="str">
        <x:v>34a95d8b3928411e90070d68c3392be4</x:v>
      </x:c>
      <x:c r="B21" s="20" t="n">
        <x:v>46220</x:v>
      </x:c>
      <x:c r="C21" s="19" t="n">
        <x:v>0</x:v>
      </x:c>
      <x:c r="D21" s="19" t="str">
        <x:v>なかざ屋</x:v>
      </x:c>
      <x:c r="E21" s="19" t="str">
        <x:v>ランチ・レストラン</x:v>
      </x:c>
      <x:c r="F21" s="19" t="str"/>
      <x:c r="G21" s="19" t="n">
        <x:v>26.2016841</x:v>
      </x:c>
      <x:c r="H21" s="19" t="n">
        <x:v>127.6637549</x:v>
      </x:c>
      <x:c r="I21" s="19" t="str">
        <x:v>13:03</x:v>
      </x:c>
      <x:c r="J21" s="19" t="str">
        <x:v>13:13</x:v>
      </x:c>
      <x:c r="K21" s="19" t="n">
        <x:v>10</x:v>
      </x:c>
      <x:c r="L21" s="19" t="n">
        <x:v>3</x:v>
      </x:c>
      <x:c r="M21" s="21" t="n">
        <x:v>1.9</x:v>
      </x:c>
      <x:c r="N21" s="22" t="n">
        <x:v>2000</x:v>
      </x:c>
      <x:c r="O21" s="19" t="n">
        <x:v>2</x:v>
      </x:c>
      <x:c r="P21" s="19" t="str">
        <x:v>飲食</x:v>
      </x:c>
      <x:c r="Q21" s="19" t="str">
        <x:v>2人分の昼食概算。公式価格未確認</x:v>
      </x:c>
      <x:c r="R21" s="19" t="str"/>
      <x:c r="S21" s="19" t="str"/>
      <x:c r="T21" s="23" t="b">
        <x:v>0</x:v>
      </x:c>
    </x:row>
  </x:sheetData>
  <x:conditionalFormatting sqref="N2:N2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{D75D8618-1F20-9D84-AF54-DC12C013EB33}</x14:id>
        </x:ext>
      </x:extLst>
    </x:cfRule>
  </x:conditionalFormatting>
  <x:dataValidations count="2">
    <x:dataValidation type="list" sqref="E2:E21">
      <x:formula1>"観光スポット,ランチ・レストラン,カフェ,ビーチ,ホテル,レンタカー,固定予定,コンビニ,スーパー,温泉・スパ"</x:formula1>
    </x:dataValidation>
    <x:dataValidation type="list" sqref="P2:P21">
      <x:formula1>"飲食,観光・体験,無料スポット,無料・未計上,支払済み,要確認"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9eee9650a54dc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75D8618-1F20-9D84-AF54-DC12C013EB33}">
            <x14:dataBar gradient="1">
              <x14:cfvo type="min"/>
              <x14:cfvo type="max"/>
              <x14:fillColor rgb="FFA02B93"/>
            </x14:dataBar>
          </x14:cfRule>
          <xm:sqref>N2:N21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6" hidden="0" customWidth="1"/>
    <x:col min="4" max="4" width="32" hidden="0" customWidth="1"/>
    <x:col min="5" max="5" width="12" hidden="0" customWidth="1"/>
    <x:col min="6" max="6" width="12" hidden="0" customWidth="1"/>
    <x:col min="7" max="7" width="12" hidden="0" customWidth="1"/>
    <x:col min="8" max="8" width="10" hidden="0" customWidth="1"/>
    <x:col min="9" max="9" width="10" hidden="0" customWidth="1"/>
    <x:col min="10" max="10" width="9" hidden="0" customWidth="1"/>
    <x:col min="11" max="11" width="40" hidden="0" customWidth="1"/>
  </x:cols>
  <x:sheetData>
    <x:row r="1">
      <x:c r="A1" s="36" t="str">
        <x:v>UID</x:v>
      </x:c>
      <x:c r="B1" s="36" t="str">
        <x:v>場所名</x:v>
      </x:c>
      <x:c r="C1" s="36" t="str">
        <x:v>カテゴリ</x:v>
      </x:c>
      <x:c r="D1" s="36" t="str">
        <x:v>住所</x:v>
      </x:c>
      <x:c r="E1" s="36" t="str">
        <x:v>緯度</x:v>
      </x:c>
      <x:c r="F1" s="36" t="str">
        <x:v>経度</x:v>
      </x:c>
      <x:c r="G1" s="36" t="str">
        <x:v>予算円</x:v>
      </x:c>
      <x:c r="H1" s="36" t="str">
        <x:v>営業時間</x:v>
      </x:c>
      <x:c r="I1" s="36" t="str">
        <x:v>閉店時間</x:v>
      </x:c>
      <x:c r="J1" s="36" t="str">
        <x:v>優先度</x:v>
      </x:c>
      <x:c r="K1" s="36" t="str">
        <x:v>GoogleマップURL</x:v>
      </x:c>
    </x:row>
    <x:row r="2">
      <x:c r="A2" s="19" t="str">
        <x:v>a258455e922744f4892e6b2fac34fc87</x:v>
      </x:c>
      <x:c r="B2" s="19" t="str">
        <x:v>ロワジールホテル 那覇</x:v>
      </x:c>
      <x:c r="C2" s="19" t="str">
        <x:v>ホテル</x:v>
      </x:c>
      <x:c r="D2" s="19" t="str"/>
      <x:c r="E2" s="19" t="n">
        <x:v>26.213692</x:v>
      </x:c>
      <x:c r="F2" s="19" t="n">
        <x:v>127.6658928</x:v>
      </x:c>
      <x:c r="G2" s="22" t="n">
        <x:v>0</x:v>
      </x:c>
      <x:c r="H2" s="19" t="str">
        <x:v>00:00</x:v>
      </x:c>
      <x:c r="I2" s="19" t="str">
        <x:v>23:59</x:v>
      </x:c>
      <x:c r="J2" s="19" t="n">
        <x:v>3</x:v>
      </x:c>
      <x:c r="K2" s="19" t="str">
        <x:v>https://www.google.com/maps/place/%E3%83%AD%E3%83%AF%E3%82%B8%E3%83%BC%E3%83%AB%E3%83%9B%E3%83%86%E3%83%AB+%E9%82%A3%E8%A6%87/@26.2470195,127.6540829,11.21z/data=!3m1!5s0x34e569966f48c137:0x67193ecc8ba26fc6!4m12!1m2!10m1!1e4!3m8!1s0x34e5699665258f61:0x9c794af37eac9e87!5m2!4m1!1i2!8m2!3d26.213692!4d127.6658928!16s%2Fg%2F11bytn8tcg?entry=ttu&amp;g_ep=EgoyMDI2MDYxNi4wIKXMDSoASAFQAw%3D%3D</x:v>
      </x:c>
    </x:row>
    <x:row r="3">
      <x:c r="A3" s="19" t="str">
        <x:v>ae00be765f8f42b89d005c51f6b8b568</x:v>
      </x:c>
      <x:c r="B3" s="19" t="str">
        <x:v>首里金城町石畳道</x:v>
      </x:c>
      <x:c r="C3" s="19" t="str">
        <x:v>観光スポット</x:v>
      </x:c>
      <x:c r="D3" s="19" t="str"/>
      <x:c r="E3" s="19" t="n">
        <x:v>26.2146855</x:v>
      </x:c>
      <x:c r="F3" s="19" t="n">
        <x:v>127.7145443</x:v>
      </x:c>
      <x:c r="G3" s="22" t="n">
        <x:v>0</x:v>
      </x:c>
      <x:c r="H3" s="19" t="str">
        <x:v>09:00</x:v>
      </x:c>
      <x:c r="I3" s="19" t="str">
        <x:v>18:00</x:v>
      </x:c>
      <x:c r="J3" s="19" t="n">
        <x:v>3</x:v>
      </x:c>
      <x:c r="K3" s="19" t="str">
        <x:v>https://www.google.com/maps/place/%E9%A6%96%E9%87%8C%E9%87%91%E5%9F%8E%E7%94%BA%E7%9F%B3%E7%95%B3%E9%81%93/@26.2470195,127.6540829,11.21z/data=!4m9!1m2!10m1!1e4!3m5!1s0x34e5695771438eb3:0x5e8617c69ab546ef!8m2!3d26.2146855!4d127.7145443!16s%2Fg%2F122gqtxr?entry=ttu&amp;g_ep=EgoyMDI2MDYxNi4wIKXMDSoASAFQAw%3D%3D</x:v>
      </x:c>
    </x:row>
    <x:row r="4">
      <x:c r="A4" s="19" t="str">
        <x:v>a38e9d1da7b44d98920d7ec2b6829c7f</x:v>
      </x:c>
      <x:c r="B4" s="19" t="str">
        <x:v>A&amp;W 牧港店</x:v>
      </x:c>
      <x:c r="C4" s="19" t="str">
        <x:v>観光スポット</x:v>
      </x:c>
      <x:c r="D4" s="19" t="str"/>
      <x:c r="E4" s="19" t="n">
        <x:v>26.2666387</x:v>
      </x:c>
      <x:c r="F4" s="19" t="n">
        <x:v>127.7284454</x:v>
      </x:c>
      <x:c r="G4" s="22" t="n">
        <x:v>3000</x:v>
      </x:c>
      <x:c r="H4" s="19" t="str">
        <x:v>09:00</x:v>
      </x:c>
      <x:c r="I4" s="19" t="str">
        <x:v>18:00</x:v>
      </x:c>
      <x:c r="J4" s="19" t="n">
        <x:v>3</x:v>
      </x:c>
      <x:c r="K4" s="19" t="str">
        <x:v>https://www.google.com/maps/place/A%26W+%E7%89%A7%E6%B8%AF%E5%BA%97/@26.2470195,127.6540829,11.21z/data=!4m9!1m2!10m1!1e4!3m5!1s0x34e56c9c6de49893:0x7c59da9d71a386f5!8m2!3d26.2666387!4d127.7284454!16s%2Fg%2F1td3p766?entry=ttu&amp;g_ep=EgoyMDI2MDYxNi4wIKXMDSoASAFQAw%3D%3D</x:v>
      </x:c>
    </x:row>
    <x:row r="5">
      <x:c r="A5" s="19" t="str">
        <x:v>6b79237f88bf48e5a9c1329fe27e7d5c</x:v>
      </x:c>
      <x:c r="B5" s="19" t="str">
        <x:v>ビーチフロントタワーミハマ</x:v>
      </x:c>
      <x:c r="C5" s="19" t="str">
        <x:v>ホテル</x:v>
      </x:c>
      <x:c r="D5" s="19" t="str"/>
      <x:c r="E5" s="19" t="n">
        <x:v>26.3083395</x:v>
      </x:c>
      <x:c r="F5" s="19" t="n">
        <x:v>127.7605839</x:v>
      </x:c>
      <x:c r="G5" s="22" t="n">
        <x:v>0</x:v>
      </x:c>
      <x:c r="H5" s="19" t="str">
        <x:v>08:00</x:v>
      </x:c>
      <x:c r="I5" s="19" t="str">
        <x:v>19:00</x:v>
      </x:c>
      <x:c r="J5" s="19" t="n">
        <x:v>3</x:v>
      </x:c>
      <x:c r="K5" s="19" t="str">
        <x:v>https://www.google.com/maps/place/%E3%83%93%E3%83%BC%E3%83%81%E3%83%95%E3%83%AD%E3%83%B3%E3%83%88%E3%82%BF%E3%83%AF%E3%83%BC%E3%83%9F%E3%83%8F%E3%83%9E/@26.2683453,127.6614573,11.9z/data=!4m12!1m2!10m1!1e4!3m8!1s0x34e5131956ec0001:0xc419baddd4ef4b52!5m2!4m1!1i2!8m2!3d26.3083395!4d127.7605839!16s%2Fg%2F11bxb9rbks?entry=ttu&amp;g_ep=EgoyMDI2MDYxNi4wIKXMDSoASAFQAw%3D%3D</x:v>
      </x:c>
    </x:row>
    <x:row r="6">
      <x:c r="A6" s="19" t="str">
        <x:v>4a4aeace81e24ea0bc82289360335238</x:v>
      </x:c>
      <x:c r="B6" s="19" t="str">
        <x:v>ブルーシール 牧港本店</x:v>
      </x:c>
      <x:c r="C6" s="19" t="str">
        <x:v>観光スポット</x:v>
      </x:c>
      <x:c r="D6" s="19" t="str"/>
      <x:c r="E6" s="19" t="n">
        <x:v>26.2673347</x:v>
      </x:c>
      <x:c r="F6" s="19" t="n">
        <x:v>127.7214297</x:v>
      </x:c>
      <x:c r="G6" s="22" t="n">
        <x:v>1200</x:v>
      </x:c>
      <x:c r="H6" s="19" t="str">
        <x:v>09:00</x:v>
      </x:c>
      <x:c r="I6" s="19" t="str">
        <x:v>18:00</x:v>
      </x:c>
      <x:c r="J6" s="19" t="n">
        <x:v>3</x:v>
      </x:c>
      <x:c r="K6" s="19" t="str">
        <x:v>https://www.google.com/maps/place/%E3%83%96%E3%83%AB%E3%83%BC%E3%82%B7%E3%83%BC%E3%83%AB+%E7%89%A7%E6%B8%AF%E6%9C%AC%E5%BA%97/@26.2683453,127.6614573,11.9z/data=!4m9!1m2!10m1!1e4!3m5!1s0x34e56b62fa9a7867:0xf056f74e99e16b7c!8m2!3d26.2673347!4d127.7214297!16s%2Fg%2F1tql2jnb?entry=ttu&amp;g_ep=EgoyMDI2MDYxNi4wIKXMDSoASAFQAw%3D%3D</x:v>
      </x:c>
    </x:row>
    <x:row r="7">
      <x:c r="A7" s="19" t="str">
        <x:v>2aa4aaed127647c793b4e57e34a9795d</x:v>
      </x:c>
      <x:c r="B7" s="19" t="str">
        <x:v>美浜タウンリゾート・アメリカンビレッジ</x:v>
      </x:c>
      <x:c r="C7" s="19" t="str">
        <x:v>観光スポット</x:v>
      </x:c>
      <x:c r="D7" s="19" t="str"/>
      <x:c r="E7" s="19" t="n">
        <x:v>26.3158799</x:v>
      </x:c>
      <x:c r="F7" s="19" t="n">
        <x:v>127.7540077</x:v>
      </x:c>
      <x:c r="G7" s="22" t="n">
        <x:v>0</x:v>
      </x:c>
      <x:c r="H7" s="19" t="str">
        <x:v>09:00</x:v>
      </x:c>
      <x:c r="I7" s="19" t="str">
        <x:v>18:00</x:v>
      </x:c>
      <x:c r="J7" s="19" t="n">
        <x:v>3</x:v>
      </x:c>
      <x:c r="K7" s="19" t="str">
        <x:v>https://www.google.com/maps/place/%E7%BE%8E%E6%B5%9C%E3%82%BF%E3%82%A6%E3%83%B3%E3%83%AA%E3%82%BE%E3%83%BC%E3%83%88%E3%83%BB%E3%82%A2%E3%83%A1%E3%83%AA%E3%82%AB%E3%83%B3%E3%83%93%E3%83%AC%E3%83%83%E3%82%B8/@26.2683453,127.6614573,11.9z/data=!4m9!1m2!10m1!1e4!3m5!1s0x34e5130508159acd:0x1bde7c8b1d9e8bcc!8m2!3d26.3158799!4d127.7540077!16s%2Fg%2F122qywtm?entry=ttu&amp;g_ep=EgoyMDI2MDYxNi4wIKXMDSoASAFQAw%3D%3D</x:v>
      </x:c>
    </x:row>
    <x:row r="8">
      <x:c r="A8" s="19" t="str">
        <x:v>13ded5ce13a44f7593b4d3d1b9d542c7</x:v>
      </x:c>
      <x:c r="B8" s="19" t="str">
        <x:v>バンタカフェ by 星野リゾート</x:v>
      </x:c>
      <x:c r="C8" s="19" t="str">
        <x:v>観光スポット</x:v>
      </x:c>
      <x:c r="D8" s="19" t="str"/>
      <x:c r="E8" s="19" t="n">
        <x:v>26.4177102</x:v>
      </x:c>
      <x:c r="F8" s="19" t="n">
        <x:v>127.7140044</x:v>
      </x:c>
      <x:c r="G8" s="22" t="n">
        <x:v>3000</x:v>
      </x:c>
      <x:c r="H8" s="19" t="str">
        <x:v>09:00</x:v>
      </x:c>
      <x:c r="I8" s="19" t="str">
        <x:v>18:00</x:v>
      </x:c>
      <x:c r="J8" s="19" t="n">
        <x:v>3</x:v>
      </x:c>
      <x:c r="K8" s="19" t="str">
        <x:v>https://www.google.com/maps/place/%E3%83%90%E3%83%B3%E3%82%BF%E3%82%AB%E3%83%95%E3%82%A7+by+%E6%98%9F%E9%87%8E%E3%83%AA%E3%82%BE%E3%83%BC%E3%83%88/@26.2598903,127.5952914,11.18z/data=!3m1!5s0x34e516d7e05c9717:0x6b5c1ddcfbe86e2d!4m9!1m2!10m1!1e4!3m5!1s0x34e5179945710b5b:0x14dc6ce7bed9f877!8m2!3d26.4177102!4d127.7140044!16s%2Fg%2F11h_vydzfd?entry=ttu&amp;g_ep=EgoyMDI2MDYxNi4wIKXMDSoASAFQAw%3D%3D</x:v>
      </x:c>
    </x:row>
    <x:row r="9">
      <x:c r="A9" s="19" t="str">
        <x:v>2562d68d5f5245a188f7143f37ce4f40</x:v>
      </x:c>
      <x:c r="B9" s="19" t="str">
        <x:v>やちむんの里</x:v>
      </x:c>
      <x:c r="C9" s="19" t="str">
        <x:v>観光スポット</x:v>
      </x:c>
      <x:c r="D9" s="19" t="str"/>
      <x:c r="E9" s="19" t="n">
        <x:v>26.4076824</x:v>
      </x:c>
      <x:c r="F9" s="19" t="n">
        <x:v>127.7540485</x:v>
      </x:c>
      <x:c r="G9" s="22" t="n">
        <x:v>0</x:v>
      </x:c>
      <x:c r="H9" s="19" t="str">
        <x:v>09:00</x:v>
      </x:c>
      <x:c r="I9" s="19" t="str">
        <x:v>18:00</x:v>
      </x:c>
      <x:c r="J9" s="19" t="n">
        <x:v>3</x:v>
      </x:c>
      <x:c r="K9" s="19" t="str">
        <x:v>https://www.google.com/maps/place/%E3%82%84%E3%81%A1%E3%82%80%E3%82%93%E3%81%AE%E9%87%8C/@26.2598903,127.5952914,11.18z/data=!4m9!1m2!10m1!1e4!3m5!1s0x34e5113d9c9fee93:0x75a11f61f4cb1ea!8m2!3d26.4076824!4d127.7540485!16s%2Fg%2F1tg_jd02?entry=ttu&amp;g_ep=EgoyMDI2MDYxNi4wIKXMDSoASAFQAw%3D%3D</x:v>
      </x:c>
    </x:row>
    <x:row r="10">
      <x:c r="A10" s="19" t="str">
        <x:v>d73a76256f7c4bbcb603ff96bbeb2f2e</x:v>
      </x:c>
      <x:c r="B10" s="19" t="str">
        <x:v>株式会社 琉球ガラス煌工房</x:v>
      </x:c>
      <x:c r="C10" s="19" t="str">
        <x:v>観光スポット</x:v>
      </x:c>
      <x:c r="D10" s="19" t="str"/>
      <x:c r="E10" s="19" t="n">
        <x:v>26.4348972</x:v>
      </x:c>
      <x:c r="F10" s="19" t="n">
        <x:v>127.7822327</x:v>
      </x:c>
      <x:c r="G10" s="22" t="n">
        <x:v>7400</x:v>
      </x:c>
      <x:c r="H10" s="19" t="str">
        <x:v>09:00</x:v>
      </x:c>
      <x:c r="I10" s="19" t="str">
        <x:v>18:00</x:v>
      </x:c>
      <x:c r="J10" s="19" t="n">
        <x:v>3</x:v>
      </x:c>
      <x:c r="K10" s="19" t="str">
        <x:v>https://www.google.com/maps/place/%E6%A0%AA%E5%BC%8F%E4%BC%9A%E7%A4%BE+%E7%90%89%E7%90%83%E3%82%AC%E3%83%A9%E3%82%B9%E7%85%8C%E5%B7%A5%E6%88%BF/@26.2598903,127.5952914,11.18z/data=!4m9!1m2!10m1!1e4!3m5!1s0x34e510742cd11a87:0xa457575dd684553a!8m2!3d26.4348972!4d127.7822327!16s%2Fg%2F11xfpqmx7?entry=ttu&amp;g_ep=EgoyMDI2MDYxNi4wIKXMDSoASAFQAw%3D%3D</x:v>
      </x:c>
    </x:row>
    <x:row r="11">
      <x:c r="A11" s="19" t="str">
        <x:v>3b9b3494c0af4a629792eb4816ddd89d</x:v>
      </x:c>
      <x:c r="B11" s="19" t="str">
        <x:v>ザ・ブセナテラス（The Busena Terrace）</x:v>
      </x:c>
      <x:c r="C11" s="19" t="str">
        <x:v>ホテル</x:v>
      </x:c>
      <x:c r="D11" s="19" t="str"/>
      <x:c r="E11" s="19" t="n">
        <x:v>26.5404329</x:v>
      </x:c>
      <x:c r="F11" s="19" t="n">
        <x:v>127.9357986</x:v>
      </x:c>
      <x:c r="G11" s="22" t="n">
        <x:v>0</x:v>
      </x:c>
      <x:c r="H11" s="19" t="str">
        <x:v>09:00</x:v>
      </x:c>
      <x:c r="I11" s="19" t="str">
        <x:v>18:00</x:v>
      </x:c>
      <x:c r="J11" s="19" t="n">
        <x:v>3</x:v>
      </x:c>
      <x:c r="K11" s="19" t="str">
        <x:v>https://www.google.com/maps/place/%E3%82%B6%E3%83%BB%E3%83%96%E3%82%BB%E3%83%8A%E3%83%86%E3%83%A9%E3%82%B9%EF%BC%88The+Busena+Terrace%EF%BC%89/@26.5052961,127.7055136,11z/data=!4m12!1m2!10m1!1e4!3m8!1s0x34e4ff6216878819:0x12fc82e2906b4327!5m2!4m1!1i2!8m2!3d26.5404329!4d127.9357986!16s%2Fg%2F121b763t?entry=ttu&amp;g_ep=EgoyMDI2MDYxNi4wIKXMDSoASAFQAw%3D%3D</x:v>
      </x:c>
    </x:row>
    <x:row r="12">
      <x:c r="A12" s="19" t="str">
        <x:v>d67a9d2c32bb4895978d3bfe9325a0d9</x:v>
      </x:c>
      <x:c r="B12" s="19" t="str">
        <x:v>百年古家 大家 うふやー</x:v>
      </x:c>
      <x:c r="C12" s="19" t="str">
        <x:v>観光スポット</x:v>
      </x:c>
      <x:c r="D12" s="19" t="str"/>
      <x:c r="E12" s="19" t="n">
        <x:v>26.6209963</x:v>
      </x:c>
      <x:c r="F12" s="19" t="n">
        <x:v>127.9636717</x:v>
      </x:c>
      <x:c r="G12" s="22" t="n">
        <x:v>2500</x:v>
      </x:c>
      <x:c r="H12" s="19" t="str">
        <x:v>09:00</x:v>
      </x:c>
      <x:c r="I12" s="19" t="str">
        <x:v>18:00</x:v>
      </x:c>
      <x:c r="J12" s="19" t="n">
        <x:v>3</x:v>
      </x:c>
      <x:c r="K12" s="19" t="str">
        <x:v>https://www.google.com/maps/place/%E7%99%BE%E5%B9%B4%E5%8F%A4%E5%AE%B6+%E5%A4%A7%E5%AE%B6+%E3%81%86%E3%81%B5%E3%82%84%E3%83%BC/@26.5052961,127.7055136,11z/data=!4m9!1m2!10m1!1e4!3m5!1s0x34e4ff4cb9b910f1:0x6c5682a23a94e475!8m2!3d26.6209963!4d127.9636717!16s%2Fg%2F11bxbbm4b6?entry=ttu&amp;g_ep=EgoyMDI2MDYxNi4wIKXMDSoASAFQAw%3D%3D</x:v>
      </x:c>
    </x:row>
    <x:row r="13">
      <x:c r="A13" s="19" t="str">
        <x:v>95d1bfa1adfe43c5bc81ff13e5174e5a</x:v>
      </x:c>
      <x:c r="B13" s="19" t="str">
        <x:v>The Sinmay</x:v>
      </x:c>
      <x:c r="C13" s="19" t="str">
        <x:v>観光スポット</x:v>
      </x:c>
      <x:c r="D13" s="19" t="str"/>
      <x:c r="E13" s="19" t="n">
        <x:v>26.6779268</x:v>
      </x:c>
      <x:c r="F13" s="19" t="n">
        <x:v>127.9714803</x:v>
      </x:c>
      <x:c r="G13" s="22" t="n">
        <x:v>0</x:v>
      </x:c>
      <x:c r="H13" s="19" t="str">
        <x:v>09:00</x:v>
      </x:c>
      <x:c r="I13" s="19" t="str">
        <x:v>18:00</x:v>
      </x:c>
      <x:c r="J13" s="19" t="n">
        <x:v>3</x:v>
      </x:c>
      <x:c r="K13" s="19" t="str">
        <x:v>https://www.google.com/maps/place/The+Sinmay/@26.5052961,127.7055136,11z/data=!4m9!1m2!10m1!1e4!3m5!1s0x34e4f93f21d32467:0x2ec7ebee84f500a1!8m2!3d26.6779268!4d127.9714803!16s%2Fg%2F11sn837w8m?entry=ttu&amp;g_ep=EgoyMDI2MDYxNi4wIKXMDSoASAFQAw%3D%3D</x:v>
      </x:c>
    </x:row>
    <x:row r="14">
      <x:c r="A14" s="19" t="str">
        <x:v>661925ef78054aaf9b44a5bb2d916220</x:v>
      </x:c>
      <x:c r="B14" s="19" t="str">
        <x:v>備瀬のフクギ並木</x:v>
      </x:c>
      <x:c r="C14" s="19" t="str">
        <x:v>観光スポット</x:v>
      </x:c>
      <x:c r="D14" s="19" t="str"/>
      <x:c r="E14" s="19" t="n">
        <x:v>26.7015874</x:v>
      </x:c>
      <x:c r="F14" s="19" t="n">
        <x:v>127.8802247</x:v>
      </x:c>
      <x:c r="G14" s="22" t="n">
        <x:v>2500</x:v>
      </x:c>
      <x:c r="H14" s="19" t="str">
        <x:v>09:00</x:v>
      </x:c>
      <x:c r="I14" s="19" t="str">
        <x:v>18:00</x:v>
      </x:c>
      <x:c r="J14" s="19" t="n">
        <x:v>3</x:v>
      </x:c>
      <x:c r="K14" s="19" t="str">
        <x:v>https://www.google.com/maps/place/%E5%82%99%E7%80%AC%E3%81%AE%E3%83%95%E3%82%AF%E3%82%AE%E4%B8%A6%E6%9C%A8/@26.6508676,127.8555897,12.58z/data=!4m9!1m2!10m1!1e4!3m5!1s0x34e4fa3bb2e83feb:0xa38ab5013a129a36!8m2!3d26.7015874!4d127.8802247!16s%2Fg%2F11b722jzbv?entry=ttu&amp;g_ep=EgoyMDI2MDYxNi4wIKXMDSoASAFQAw%3D%3D</x:v>
      </x:c>
    </x:row>
    <x:row r="15">
      <x:c r="A15" s="19" t="str">
        <x:v>66a4a5bbb80f4db4a2030b61c27fb018</x:v>
      </x:c>
      <x:c r="B15" s="19" t="str">
        <x:v>KOURI SHRIMP</x:v>
      </x:c>
      <x:c r="C15" s="19" t="str">
        <x:v>観光スポット</x:v>
      </x:c>
      <x:c r="D15" s="19" t="str"/>
      <x:c r="E15" s="19" t="n">
        <x:v>26.6968294</x:v>
      </x:c>
      <x:c r="F15" s="19" t="n">
        <x:v>128.0197784</x:v>
      </x:c>
      <x:c r="G15" s="22" t="n">
        <x:v>2500</x:v>
      </x:c>
      <x:c r="H15" s="19" t="str">
        <x:v>09:00</x:v>
      </x:c>
      <x:c r="I15" s="19" t="str">
        <x:v>18:00</x:v>
      </x:c>
      <x:c r="J15" s="19" t="n">
        <x:v>3</x:v>
      </x:c>
      <x:c r="K15" s="19" t="str">
        <x:v>https://www.google.com/maps/place/KOURI+SHRIMP/@26.6467863,127.8925855,11.86z/data=!4m9!1m2!10m1!1e4!3m5!1s0x34e459cce077ea71:0x681dbc4657cd58e5!8m2!3d26.6968294!4d128.0197784!16s%2Fg%2F11b6b5frzv?entry=ttu&amp;g_ep=EgoyMDI2MDYxNi4wIKXMDSoASAFQAw%3D%3D</x:v>
      </x:c>
    </x:row>
    <x:row r="16">
      <x:c r="A16" s="19" t="str">
        <x:v>39b9977adb8948cdaa48f8d3cc09756e</x:v>
      </x:c>
      <x:c r="B16" s="19" t="str">
        <x:v>古宇利島</x:v>
      </x:c>
      <x:c r="C16" s="19" t="str">
        <x:v>観光スポット</x:v>
      </x:c>
      <x:c r="D16" s="19" t="str"/>
      <x:c r="E16" s="19" t="n">
        <x:v>26.7072982</x:v>
      </x:c>
      <x:c r="F16" s="19" t="n">
        <x:v>128.0181686</x:v>
      </x:c>
      <x:c r="G16" s="22" t="n">
        <x:v>0</x:v>
      </x:c>
      <x:c r="H16" s="19" t="str">
        <x:v>09:00</x:v>
      </x:c>
      <x:c r="I16" s="19" t="str">
        <x:v>18:00</x:v>
      </x:c>
      <x:c r="J16" s="19" t="n">
        <x:v>3</x:v>
      </x:c>
      <x:c r="K16" s="19" t="str">
        <x:v>https://www.google.com/maps/place/%E5%8F%A4%E5%AE%87%E5%88%A9%E5%B3%B6/@26.6046612,127.7665632,11.3z/data=!4m6!3m5!1s0x34e45834628fc6c1:0xfe464c1009cf4372!8m2!3d26.7072982!4d128.0181686!16s%2Fg%2F1237_v5z!5m1!1e1?entry=ttu&amp;g_ep=EgoyMDI2MDYxNi4wIKXMDSoASAFQAw%3D%3D</x:v>
      </x:c>
    </x:row>
    <x:row r="17">
      <x:c r="A17" s="19" t="str">
        <x:v>ada8fac576584b72b3c67ba9f489170f</x:v>
      </x:c>
      <x:c r="B17" s="19" t="str">
        <x:v>PANZA沖縄</x:v>
      </x:c>
      <x:c r="C17" s="19" t="str">
        <x:v>観光スポット</x:v>
      </x:c>
      <x:c r="D17" s="19" t="str"/>
      <x:c r="E17" s="19" t="n">
        <x:v>26.4623155</x:v>
      </x:c>
      <x:c r="F17" s="19" t="n">
        <x:v>127.8127501</x:v>
      </x:c>
      <x:c r="G17" s="22" t="n">
        <x:v>5500</x:v>
      </x:c>
      <x:c r="H17" s="19" t="str">
        <x:v>09:00</x:v>
      </x:c>
      <x:c r="I17" s="19" t="str">
        <x:v>18:00</x:v>
      </x:c>
      <x:c r="J17" s="19" t="n">
        <x:v>3</x:v>
      </x:c>
      <x:c r="K17" s="19" t="str">
        <x:v>https://www.google.com/maps/place/PANZA%E6%B2%96%E7%B8%84/@26.4664293,127.8032498,10.91z/data=!4m6!3m5!1s0x34e505417cfeee85:0xe8fc20a98b8f0e02!8m2!3d26.4623155!4d127.8127501!16s%2Fg%2F11hyg5gqqm!5m1!1e1?entry=ttu&amp;g_ep=EgoyMDI2MDYxNi4wIKXMDSoASAFQAw%3D%3D</x:v>
      </x:c>
    </x:row>
    <x:row r="18">
      <x:c r="A18" s="19" t="str">
        <x:v>b63a905da43e40bd8b41743e0ed962b4</x:v>
      </x:c>
      <x:c r="B18" s="19" t="str">
        <x:v>ビオスの丘</x:v>
      </x:c>
      <x:c r="C18" s="19" t="str">
        <x:v>観光スポット</x:v>
      </x:c>
      <x:c r="D18" s="19" t="str"/>
      <x:c r="E18" s="19" t="n">
        <x:v>26.4217756</x:v>
      </x:c>
      <x:c r="F18" s="19" t="n">
        <x:v>127.796585</x:v>
      </x:c>
      <x:c r="G18" s="22" t="n">
        <x:v>4400</x:v>
      </x:c>
      <x:c r="H18" s="19" t="str">
        <x:v>09:00</x:v>
      </x:c>
      <x:c r="I18" s="19" t="str">
        <x:v>18:00</x:v>
      </x:c>
      <x:c r="J18" s="19" t="n">
        <x:v>3</x:v>
      </x:c>
      <x:c r="K18" s="19" t="str">
        <x:v>https://www.google.com/maps/place/%E3%83%93%E3%82%AA%E3%82%B9%E3%81%AE%E4%B8%98/@26.4345941,127.8032767,10.61z/data=!4m6!3m5!1s0x34e510106aad01e9:0xfff45f22399b3537!8m2!3d26.4217756!4d127.796585!16s%2Fg%2F1tf6dcxx?entry=ttu&amp;g_ep=EgoyMDI2MDYxNi4wIKXMDSoASAFQAw%3D%3D</x:v>
      </x:c>
    </x:row>
    <x:row r="19">
      <x:c r="A19" s="19" t="str">
        <x:v>4651fbc15f7341bcabcd7a5d0b2fc8a6</x:v>
      </x:c>
      <x:c r="B19" s="19" t="str">
        <x:v>CAVE OKINAWA神秘の鍾乳洞</x:v>
      </x:c>
      <x:c r="C19" s="19" t="str">
        <x:v>観光スポット</x:v>
      </x:c>
      <x:c r="D19" s="19" t="str"/>
      <x:c r="E19" s="19" t="n">
        <x:v>26.4204123</x:v>
      </x:c>
      <x:c r="F19" s="19" t="n">
        <x:v>127.8093378</x:v>
      </x:c>
      <x:c r="G19" s="22" t="n">
        <x:v>2400</x:v>
      </x:c>
      <x:c r="H19" s="19" t="str">
        <x:v>09:00</x:v>
      </x:c>
      <x:c r="I19" s="19" t="str">
        <x:v>18:00</x:v>
      </x:c>
      <x:c r="J19" s="19" t="n">
        <x:v>3</x:v>
      </x:c>
      <x:c r="K19" s="19" t="str">
        <x:v>https://www.google.com/maps/place/CAVE+OKINAWA%E7%A5%9E%E7%A7%98%E3%81%AE%E9%8D%BE%E4%B9%B3%E6%B4%9E/@26.4232943,127.7846776,15.08z/data=!4m6!3m5!1s0x34e510026801563b:0x863c44f936a877c9!8m2!3d26.4204123!4d127.8093378!16s%2Fg%2F119wqmr7c?entry=ttu&amp;g_ep=EgoyMDI2MDYxNi4wIKXMDSoASAFQAw%3D%3D</x:v>
      </x:c>
    </x:row>
  </x:sheetData>
  <x:pageMargins left="0.7" right="0.7" top="0.75" bottom="0.75" header="0.3" footer="0.3"/>
  <x:tableParts count="1">
    <x:tablePart xmlns:r="http://schemas.openxmlformats.org/officeDocument/2006/relationships" r:id="R77e4f992a4a747d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38" hidden="0" customWidth="1"/>
  </x:cols>
  <x:sheetData>
    <x:row r="1">
      <x:c r="A1" s="44" t="str">
        <x:v>キー</x:v>
      </x:c>
      <x:c r="B1" s="44" t="str">
        <x:v>項目</x:v>
      </x:c>
      <x:c r="C1" s="44" t="str">
        <x:v>値</x:v>
      </x:c>
      <x:c r="D1" s="44" t="str">
        <x:v>説明</x:v>
      </x:c>
    </x:row>
    <x:row r="2">
      <x:c r="A2" t="str">
        <x:v>unregistered_meals</x:v>
      </x:c>
      <x:c r="B2" t="str">
        <x:v>未登録の食事</x:v>
      </x:c>
      <x:c r="C2" s="14" t="n">
        <x:v>22000</x:v>
      </x:c>
      <x:c r="D2" t="str">
        <x:v>予定に登録していない朝・昼・夜ご飯</x:v>
      </x:c>
    </x:row>
    <x:row r="3">
      <x:c r="A3" t="str">
        <x:v>gasoline</x:v>
      </x:c>
      <x:c r="B3" t="str">
        <x:v>ガソリン</x:v>
      </x:c>
      <x:c r="C3" s="14" t="n">
        <x:v>5000</x:v>
      </x:c>
      <x:c r="D3" t="str">
        <x:v>現地で支払うガソリン代</x:v>
      </x:c>
    </x:row>
    <x:row r="4">
      <x:c r="A4" t="str">
        <x:v>tolls</x:v>
      </x:c>
      <x:c r="B4" t="str">
        <x:v>高速料金</x:v>
      </x:c>
      <x:c r="C4" s="14" t="n">
        <x:v>2000</x:v>
      </x:c>
      <x:c r="D4" t="str">
        <x:v>沖縄自動車道など</x:v>
      </x:c>
    </x:row>
    <x:row r="5">
      <x:c r="A5" t="str">
        <x:v>parking</x:v>
      </x:c>
      <x:c r="B5" t="str">
        <x:v>駐車場</x:v>
      </x:c>
      <x:c r="C5" s="14" t="n">
        <x:v>3000</x:v>
      </x:c>
      <x:c r="D5" t="str">
        <x:v>各施設の駐車料金</x:v>
      </x:c>
    </x:row>
    <x:row r="6">
      <x:c r="A6" t="str">
        <x:v>convenience_snacks</x:v>
      </x:c>
      <x:c r="B6" t="str">
        <x:v>コンビニ・おやつ</x:v>
      </x:c>
      <x:c r="C6" s="14" t="n">
        <x:v>6000</x:v>
      </x:c>
      <x:c r="D6" t="str">
        <x:v>飲み物・軽食・間食</x:v>
      </x:c>
    </x:row>
    <x:row r="7">
      <x:c r="A7" t="str">
        <x:v>souvenirs</x:v>
      </x:c>
      <x:c r="B7" t="str">
        <x:v>お土産</x:v>
      </x:c>
      <x:c r="C7" s="14" t="n">
        <x:v>15000</x:v>
      </x:c>
      <x:c r="D7" t="str">
        <x:v>お土産予算</x:v>
      </x:c>
    </x:row>
    <x:row r="8">
      <x:c r="A8" t="str">
        <x:v>contingency</x:v>
      </x:c>
      <x:c r="B8" t="str">
        <x:v>予備費</x:v>
      </x:c>
      <x:c r="C8" s="14" t="n">
        <x:v>10000</x:v>
      </x:c>
      <x:c r="D8" t="str">
        <x:v>想定外の支出</x:v>
      </x:c>
    </x:row>
    <x:row r="9">
      <x:c r="A9" t="str">
        <x:v>hotel_paid</x:v>
      </x:c>
      <x:c r="B9" t="str">
        <x:v>ホテル支払済み</x:v>
      </x:c>
      <x:c r="C9" s="1" t="b">
        <x:v>1</x:v>
      </x:c>
      <x:c r="D9" t="str">
        <x:v>TRUEなら現地予算に含めない</x:v>
      </x:c>
    </x:row>
    <x:row r="10">
      <x:c r="A10" t="str">
        <x:v>rental_paid</x:v>
      </x:c>
      <x:c r="B10" t="str">
        <x:v>レンタカー支払済み</x:v>
      </x:c>
      <x:c r="C10" s="1" t="b">
        <x:v>1</x:v>
      </x:c>
      <x:c r="D10" t="str">
        <x:v>TRUEなら現地予算に含めない</x:v>
      </x:c>
    </x:row>
    <x:row r="11">
      <x:c r="A11" t="str">
        <x:v>flight_paid</x:v>
      </x:c>
      <x:c r="B11" t="str">
        <x:v>飛行機支払済み</x:v>
      </x:c>
      <x:c r="C11" s="1" t="b">
        <x:v>1</x:v>
      </x:c>
      <x:c r="D11" t="str">
        <x:v>TRUEなら現地予算に含めない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0" hidden="0" customWidth="1"/>
  </x:cols>
  <x:sheetData>
    <x:row r="1">
      <x:c r="A1" s="48" t="str">
        <x:v>キー</x:v>
      </x:c>
      <x:c r="B1" s="48" t="str">
        <x:v>項目</x:v>
      </x:c>
      <x:c r="C1" s="48" t="str">
        <x:v>値</x:v>
      </x:c>
    </x:row>
    <x:row r="2">
      <x:c r="A2" t="str">
        <x:v>trip_start</x:v>
      </x:c>
      <x:c r="B2" t="str">
        <x:v>旅行開始日</x:v>
      </x:c>
      <x:c r="C2" s="12" t="n">
        <x:v>46220</x:v>
      </x:c>
    </x:row>
    <x:row r="3">
      <x:c r="A3" t="str">
        <x:v>trip_days</x:v>
      </x:c>
      <x:c r="B3" t="str">
        <x:v>旅行日数</x:v>
      </x:c>
      <x:c r="C3" t="n">
        <x:v>4</x:v>
      </x:c>
    </x:row>
    <x:row r="4">
      <x:c r="A4" t="str">
        <x:v>map_region</x:v>
      </x:c>
      <x:c r="B4" t="str">
        <x:v>地図地域</x:v>
      </x:c>
      <x:c r="C4" t="str">
        <x:v>沖縄</x:v>
      </x:c>
    </x:row>
    <x:row r="5">
      <x:c r="A5" t="str">
        <x:v>day_mode:2026-07-17</x:v>
      </x:c>
      <x:c r="B5" t="str">
        <x:v>2026-07-17 移動手段</x:v>
      </x:c>
      <x:c r="C5" t="str">
        <x:v>車</x:v>
      </x:c>
    </x:row>
    <x:row r="6">
      <x:c r="A6" t="str">
        <x:v>day_mode:2026-07-18</x:v>
      </x:c>
      <x:c r="B6" t="str">
        <x:v>2026-07-18 移動手段</x:v>
      </x:c>
      <x:c r="C6" t="str">
        <x:v>車</x:v>
      </x:c>
    </x:row>
    <x:row r="7">
      <x:c r="A7" t="str">
        <x:v>day_mode:2026-07-19</x:v>
      </x:c>
      <x:c r="B7" t="str">
        <x:v>2026-07-19 移動手段</x:v>
      </x:c>
      <x:c r="C7" t="str">
        <x:v>車</x:v>
      </x:c>
    </x:row>
    <x:row r="8">
      <x:c r="A8" t="str">
        <x:v>day_mode:2026-07-20</x:v>
      </x:c>
      <x:c r="B8" t="str">
        <x:v>2026-07-20 移動手段</x:v>
      </x:c>
      <x:c r="C8" t="str">
        <x:v>車</x:v>
      </x:c>
    </x:row>
    <x:row r="9">
      <x:c r="A9" t="str">
        <x:v>day_start:2026-07-17</x:v>
      </x:c>
      <x:c r="B9" t="str">
        <x:v>2026-07-17 開始時間</x:v>
      </x:c>
      <x:c r="C9" t="str">
        <x:v>13:00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0" customHeight="1">
      <x:c r="A1" s="55" t="str">
        <x:v>沖縄旅行 予算ダッシュボード</x:v>
      </x:c>
      <x:c r="B1" s="55"/>
      <x:c r="C1" s="55"/>
      <x:c r="D1" s="55"/>
    </x:row>
    <x:row r="2">
      <x:c r="A2" s="62" t="str">
        <x:v>区分</x:v>
      </x:c>
      <x:c r="B2" s="62" t="str">
        <x:v>予定の金額</x:v>
      </x:c>
      <x:c r="C2" s="62" t="str">
        <x:v>追加予算</x:v>
      </x:c>
      <x:c r="D2" s="62" t="str">
        <x:v>合計</x:v>
      </x:c>
    </x:row>
    <x:row r="3">
      <x:c r="A3" t="str">
        <x:v>飲食</x:v>
      </x:c>
      <x:c r="B3" s="14" t="n">
        <x:f>SUMIF(Schedule!$P:$P,"飲食",Schedule!$N:$N)</x:f>
        <x:v>9200</x:v>
      </x:c>
      <x:c r="C3" s="14" t="n">
        <x:f>BudgetSettings!C2</x:f>
        <x:v>22000</x:v>
      </x:c>
      <x:c r="D3" s="14" t="n">
        <x:f>B3+C3</x:f>
        <x:v>31200</x:v>
      </x:c>
    </x:row>
    <x:row r="4">
      <x:c r="A4" t="str">
        <x:v>観光・体験</x:v>
      </x:c>
      <x:c r="B4" s="14" t="n">
        <x:f>SUMIF(Schedule!$P:$P,"観光・体験",Schedule!$N:$N)</x:f>
        <x:v>19900</x:v>
      </x:c>
      <x:c r="C4" s="14" t="n">
        <x:v>0</x:v>
      </x:c>
      <x:c r="D4" s="14" t="n">
        <x:f>B4+C4</x:f>
        <x:v>19900</x:v>
      </x:c>
    </x:row>
    <x:row r="5">
      <x:c r="A5" t="str">
        <x:v>無料・未計上</x:v>
      </x:c>
      <x:c r="B5" s="14" t="n">
        <x:f>SUMIF(Schedule!$P:$P,"無料*",Schedule!$N:$N)</x:f>
        <x:v>0</x:v>
      </x:c>
      <x:c r="C5" s="14" t="n">
        <x:v>0</x:v>
      </x:c>
      <x:c r="D5" s="14" t="n">
        <x:f>B5+C5</x:f>
        <x:v>0</x:v>
      </x:c>
    </x:row>
    <x:row r="6">
      <x:c r="A6" t="str">
        <x:v>ガソリン</x:v>
      </x:c>
      <x:c r="B6" s="14" t="n">
        <x:v>0</x:v>
      </x:c>
      <x:c r="C6" s="14" t="n">
        <x:f>BudgetSettings!C3</x:f>
        <x:v>5000</x:v>
      </x:c>
      <x:c r="D6" s="14" t="n">
        <x:f>B6+C6</x:f>
        <x:v>5000</x:v>
      </x:c>
    </x:row>
    <x:row r="7">
      <x:c r="A7" t="str">
        <x:v>高速料金</x:v>
      </x:c>
      <x:c r="B7" s="14" t="n">
        <x:v>0</x:v>
      </x:c>
      <x:c r="C7" s="14" t="n">
        <x:f>BudgetSettings!C4</x:f>
        <x:v>2000</x:v>
      </x:c>
      <x:c r="D7" s="14" t="n">
        <x:f>B7+C7</x:f>
        <x:v>2000</x:v>
      </x:c>
    </x:row>
    <x:row r="8">
      <x:c r="A8" t="str">
        <x:v>駐車場</x:v>
      </x:c>
      <x:c r="B8" s="14" t="n">
        <x:v>0</x:v>
      </x:c>
      <x:c r="C8" s="14" t="n">
        <x:f>BudgetSettings!C5</x:f>
        <x:v>3000</x:v>
      </x:c>
      <x:c r="D8" s="14" t="n">
        <x:f>B8+C8</x:f>
        <x:v>3000</x:v>
      </x:c>
    </x:row>
    <x:row r="9">
      <x:c r="A9" t="str">
        <x:v>コンビニ・おやつ</x:v>
      </x:c>
      <x:c r="B9" s="14" t="n">
        <x:v>0</x:v>
      </x:c>
      <x:c r="C9" s="14" t="n">
        <x:f>BudgetSettings!C6</x:f>
        <x:v>6000</x:v>
      </x:c>
      <x:c r="D9" s="14" t="n">
        <x:f>B9+C9</x:f>
        <x:v>6000</x:v>
      </x:c>
    </x:row>
    <x:row r="10">
      <x:c r="A10" t="str">
        <x:v>お土産</x:v>
      </x:c>
      <x:c r="B10" s="14" t="n">
        <x:v>0</x:v>
      </x:c>
      <x:c r="C10" s="14" t="n">
        <x:f>BudgetSettings!C7</x:f>
        <x:v>15000</x:v>
      </x:c>
      <x:c r="D10" s="14" t="n">
        <x:f>B10+C10</x:f>
        <x:v>15000</x:v>
      </x:c>
    </x:row>
    <x:row r="11">
      <x:c r="A11" t="str">
        <x:v>予備費</x:v>
      </x:c>
      <x:c r="B11" s="14" t="n">
        <x:v>0</x:v>
      </x:c>
      <x:c r="C11" s="14" t="n">
        <x:f>BudgetSettings!C8</x:f>
        <x:v>10000</x:v>
      </x:c>
      <x:c r="D11" s="14" t="n">
        <x:f>B11+C11</x:f>
        <x:v>10000</x:v>
      </x:c>
    </x:row>
    <x:row r="12">
      <x:c r="A12" s="67" t="str">
        <x:v>現地予算合計</x:v>
      </x:c>
      <x:c r="B12" s="70" t="str"/>
      <x:c r="C12" s="70" t="str"/>
      <x:c r="D12" s="70" t="n">
        <x:f>SUM(D3:D11)</x:f>
        <x:v>92100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9d6581d3f8a94a9f"/>
</x:worksheet>
</file>